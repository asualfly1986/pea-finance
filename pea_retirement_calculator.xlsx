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อภิชาติ\เงิน\"/>
    </mc:Choice>
  </mc:AlternateContent>
  <xr:revisionPtr revIDLastSave="0" documentId="13_ncr:1_{E67776E3-7756-4D6B-827E-867CC04F29F7}" xr6:coauthVersionLast="36" xr6:coauthVersionMax="47" xr10:uidLastSave="{00000000-0000-0000-0000-000000000000}"/>
  <bookViews>
    <workbookView xWindow="0" yWindow="0" windowWidth="12330" windowHeight="7350" tabRatio="500" xr2:uid="{00000000-000D-0000-FFFF-FFFF00000000}"/>
  </bookViews>
  <sheets>
    <sheet name="คำนวณเกษียณ" sheetId="1" r:id="rId1"/>
    <sheet name="ตารางจำลอง" sheetId="2" state="hidden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" i="2" l="1"/>
  <c r="G3" i="2"/>
  <c r="G2" i="2"/>
  <c r="D2" i="2"/>
  <c r="C2" i="2"/>
  <c r="B2" i="2"/>
  <c r="A2" i="2"/>
  <c r="B49" i="1"/>
  <c r="C38" i="1"/>
  <c r="C39" i="1" s="1"/>
  <c r="C37" i="1"/>
  <c r="C40" i="1" s="1"/>
  <c r="C36" i="1"/>
  <c r="C44" i="1" s="1"/>
  <c r="C17" i="1"/>
  <c r="D3" i="2" l="1"/>
  <c r="C41" i="1"/>
  <c r="B3" i="2"/>
  <c r="A3" i="2"/>
  <c r="C3" i="2"/>
  <c r="D4" i="2" l="1"/>
  <c r="B4" i="2"/>
  <c r="A4" i="2"/>
  <c r="C4" i="2"/>
  <c r="B5" i="2" l="1"/>
  <c r="D5" i="2"/>
  <c r="C5" i="2"/>
  <c r="A5" i="2"/>
  <c r="D6" i="2" l="1"/>
  <c r="B6" i="2"/>
  <c r="A6" i="2"/>
  <c r="C6" i="2"/>
  <c r="C7" i="2" l="1"/>
  <c r="B7" i="2"/>
  <c r="A7" i="2"/>
  <c r="D7" i="2"/>
  <c r="D8" i="2" l="1"/>
  <c r="C8" i="2"/>
  <c r="B8" i="2"/>
  <c r="A8" i="2"/>
  <c r="D9" i="2" l="1"/>
  <c r="C9" i="2"/>
  <c r="A9" i="2"/>
  <c r="B9" i="2"/>
  <c r="B10" i="2" l="1"/>
  <c r="A10" i="2"/>
  <c r="D10" i="2"/>
  <c r="C10" i="2"/>
  <c r="C11" i="2" l="1"/>
  <c r="B11" i="2"/>
  <c r="A11" i="2"/>
  <c r="D11" i="2"/>
  <c r="D12" i="2" l="1"/>
  <c r="C12" i="2"/>
  <c r="B12" i="2"/>
  <c r="A12" i="2"/>
  <c r="B13" i="2" l="1"/>
  <c r="D13" i="2"/>
  <c r="C13" i="2"/>
  <c r="A13" i="2"/>
  <c r="C14" i="2" l="1"/>
  <c r="B14" i="2"/>
  <c r="D14" i="2"/>
  <c r="A14" i="2"/>
  <c r="C15" i="2" l="1"/>
  <c r="B15" i="2"/>
  <c r="A15" i="2"/>
  <c r="D15" i="2"/>
  <c r="D16" i="2" l="1"/>
  <c r="C16" i="2"/>
  <c r="A16" i="2"/>
  <c r="B16" i="2"/>
  <c r="D17" i="2" l="1"/>
  <c r="C17" i="2"/>
  <c r="A17" i="2"/>
  <c r="B17" i="2"/>
  <c r="A18" i="2" l="1"/>
  <c r="D18" i="2"/>
  <c r="C18" i="2"/>
  <c r="B18" i="2"/>
  <c r="C19" i="2" l="1"/>
  <c r="B19" i="2"/>
  <c r="A19" i="2"/>
  <c r="D19" i="2"/>
  <c r="D20" i="2" l="1"/>
  <c r="C20" i="2"/>
  <c r="B20" i="2"/>
  <c r="A20" i="2"/>
  <c r="D21" i="2" l="1"/>
  <c r="C21" i="2"/>
  <c r="A21" i="2"/>
  <c r="B21" i="2"/>
  <c r="B22" i="2" l="1"/>
  <c r="D22" i="2"/>
  <c r="C22" i="2"/>
  <c r="A22" i="2"/>
  <c r="C23" i="2" l="1"/>
  <c r="B23" i="2"/>
  <c r="A23" i="2"/>
  <c r="D23" i="2"/>
  <c r="D24" i="2" l="1"/>
  <c r="C24" i="2"/>
  <c r="B24" i="2"/>
  <c r="A24" i="2"/>
  <c r="B25" i="2" l="1"/>
  <c r="D25" i="2"/>
  <c r="C25" i="2"/>
  <c r="A25" i="2"/>
  <c r="A26" i="2" l="1"/>
  <c r="D26" i="2"/>
  <c r="B26" i="2"/>
  <c r="C26" i="2"/>
  <c r="C27" i="2" l="1"/>
  <c r="B27" i="2"/>
  <c r="A27" i="2"/>
  <c r="D27" i="2"/>
  <c r="D28" i="2" l="1"/>
  <c r="C28" i="2"/>
  <c r="A28" i="2"/>
  <c r="B28" i="2"/>
  <c r="D29" i="2" l="1"/>
  <c r="C29" i="2"/>
  <c r="A29" i="2"/>
  <c r="B29" i="2"/>
  <c r="B30" i="2" l="1"/>
  <c r="D30" i="2"/>
  <c r="A30" i="2"/>
  <c r="C30" i="2"/>
  <c r="C31" i="2" l="1"/>
  <c r="B31" i="2"/>
  <c r="A31" i="2"/>
  <c r="D31" i="2"/>
  <c r="D32" i="2" l="1"/>
  <c r="C32" i="2"/>
  <c r="B32" i="2"/>
  <c r="A32" i="2"/>
  <c r="B33" i="2" l="1"/>
  <c r="D33" i="2"/>
  <c r="C43" i="1" s="1"/>
  <c r="C33" i="2"/>
  <c r="C42" i="1" s="1"/>
  <c r="A33" i="2"/>
  <c r="C45" i="1" l="1"/>
  <c r="C46" i="1" s="1"/>
  <c r="A34" i="2"/>
  <c r="C34" i="2"/>
  <c r="D34" i="2"/>
  <c r="B34" i="2"/>
  <c r="C47" i="1" l="1"/>
  <c r="B48" i="1"/>
  <c r="C35" i="2"/>
  <c r="B35" i="2"/>
  <c r="A35" i="2"/>
  <c r="D35" i="2"/>
  <c r="D36" i="2" l="1"/>
  <c r="C36" i="2"/>
  <c r="B36" i="2"/>
  <c r="A36" i="2"/>
  <c r="B37" i="2" l="1"/>
  <c r="D37" i="2"/>
  <c r="C37" i="2"/>
  <c r="A37" i="2"/>
  <c r="B38" i="2" l="1"/>
  <c r="A38" i="2"/>
  <c r="D38" i="2"/>
  <c r="C38" i="2"/>
  <c r="C39" i="2" l="1"/>
  <c r="B39" i="2"/>
  <c r="A39" i="2"/>
  <c r="D39" i="2"/>
  <c r="D40" i="2" l="1"/>
  <c r="C40" i="2"/>
  <c r="A40" i="2"/>
  <c r="B40" i="2"/>
  <c r="B41" i="2" l="1"/>
  <c r="D41" i="2"/>
  <c r="C41" i="2"/>
  <c r="A41" i="2"/>
  <c r="C42" i="2" l="1"/>
  <c r="B42" i="2"/>
  <c r="D42" i="2"/>
  <c r="A42" i="2"/>
  <c r="C43" i="2" l="1"/>
  <c r="B43" i="2"/>
  <c r="A43" i="2"/>
  <c r="D43" i="2"/>
  <c r="D44" i="2" l="1"/>
  <c r="C44" i="2"/>
  <c r="B44" i="2"/>
  <c r="A44" i="2"/>
  <c r="B45" i="2" l="1"/>
  <c r="D45" i="2"/>
  <c r="C45" i="2"/>
  <c r="A45" i="2"/>
  <c r="A46" i="2" l="1"/>
  <c r="D46" i="2"/>
  <c r="C46" i="2"/>
  <c r="B46" i="2"/>
  <c r="C47" i="2" l="1"/>
  <c r="B47" i="2"/>
  <c r="A47" i="2"/>
  <c r="D47" i="2"/>
  <c r="D48" i="2" l="1"/>
  <c r="C48" i="2"/>
  <c r="B48" i="2"/>
  <c r="A48" i="2"/>
  <c r="D49" i="2" l="1"/>
  <c r="C49" i="2"/>
  <c r="A49" i="2"/>
  <c r="B49" i="2"/>
  <c r="D50" i="2" l="1"/>
  <c r="B50" i="2"/>
  <c r="A50" i="2"/>
  <c r="C50" i="2"/>
  <c r="C51" i="2" l="1"/>
  <c r="B51" i="2"/>
  <c r="A51" i="2"/>
  <c r="D51" i="2"/>
  <c r="D52" i="2" l="1"/>
  <c r="C52" i="2"/>
  <c r="B52" i="2"/>
  <c r="A52" i="2"/>
  <c r="B53" i="2" l="1"/>
  <c r="D53" i="2"/>
  <c r="C53" i="2"/>
  <c r="A53" i="2"/>
  <c r="B54" i="2" l="1"/>
  <c r="A54" i="2"/>
  <c r="D54" i="2"/>
  <c r="C54" i="2"/>
  <c r="C55" i="2" l="1"/>
  <c r="B55" i="2"/>
  <c r="A55" i="2"/>
  <c r="D55" i="2"/>
  <c r="D56" i="2" l="1"/>
  <c r="C56" i="2"/>
  <c r="A56" i="2"/>
  <c r="B56" i="2"/>
  <c r="B57" i="2" l="1"/>
  <c r="D57" i="2"/>
  <c r="C57" i="2"/>
  <c r="A57" i="2"/>
  <c r="B58" i="2" l="1"/>
  <c r="D58" i="2"/>
  <c r="A58" i="2"/>
  <c r="C58" i="2"/>
  <c r="C59" i="2" l="1"/>
  <c r="B59" i="2"/>
  <c r="A59" i="2"/>
  <c r="D59" i="2"/>
  <c r="D60" i="2" l="1"/>
  <c r="C60" i="2"/>
  <c r="B60" i="2"/>
  <c r="A60" i="2"/>
  <c r="B61" i="2" l="1"/>
  <c r="D61" i="2"/>
  <c r="C61" i="2"/>
  <c r="A61" i="2"/>
  <c r="A62" i="2" l="1"/>
  <c r="D62" i="2"/>
  <c r="C62" i="2"/>
  <c r="B62" i="2"/>
  <c r="C63" i="2" l="1"/>
  <c r="B63" i="2"/>
  <c r="A63" i="2"/>
  <c r="D63" i="2"/>
  <c r="D64" i="2" l="1"/>
  <c r="C64" i="2"/>
  <c r="B64" i="2"/>
  <c r="A64" i="2"/>
  <c r="D65" i="2" l="1"/>
  <c r="C65" i="2"/>
  <c r="B65" i="2"/>
  <c r="A65" i="2"/>
  <c r="D66" i="2" l="1"/>
  <c r="C66" i="2"/>
  <c r="B66" i="2"/>
  <c r="A66" i="2"/>
  <c r="D67" i="2" l="1"/>
  <c r="C67" i="2"/>
  <c r="B67" i="2"/>
  <c r="A67" i="2"/>
</calcChain>
</file>

<file path=xl/sharedStrings.xml><?xml version="1.0" encoding="utf-8"?>
<sst xmlns="http://schemas.openxmlformats.org/spreadsheetml/2006/main" count="80" uniqueCount="56">
  <si>
    <t>⚡ โปรแกรมคำนวณแผนเกษียณ พนักงาน กฟภ.</t>
  </si>
  <si>
    <t>กรอกข้อมูลของคุณในช่องสีเหลือง (ตัวเลขสีน้ำเงิน) ผลลัพธ์จะคำนวณอัตโนมัติในส่วน "ผลการคำนวณ" ด้านล่าง</t>
  </si>
  <si>
    <t>🟨 สีเหลือง / ตัวเลขสีน้ำเงิน = ช่องที่ต้องกรอกข้อมูลของท่าน   ⬛ ตัวเลขสีดำ = คำนวณอัตโนมัติ ห้ามแก้ไข</t>
  </si>
  <si>
    <t>หมวด 1 : ข้อมูลเบื้องต้น</t>
  </si>
  <si>
    <t>อายุปัจจุบัน</t>
  </si>
  <si>
    <t>ปี</t>
  </si>
  <si>
    <t>อายุที่ต้องการเกษียณ</t>
  </si>
  <si>
    <t>อายุขัยโดยประมาณ</t>
  </si>
  <si>
    <t>เงินเดือนปัจจุบัน</t>
  </si>
  <si>
    <t>บาท/เดือน</t>
  </si>
  <si>
    <t>อัตราขึ้นเงินเดือนเฉลี่ยต่อปี</t>
  </si>
  <si>
    <t>% ต่อปี</t>
  </si>
  <si>
    <t>หมวด 2 : เงินที่ต้องใช้ตอนเกษียณ</t>
  </si>
  <si>
    <t>เงินที่ต้องการใช้หลังเกษียณ (มูลค่าปัจจุบัน)</t>
  </si>
  <si>
    <t>อัตราเงินเฟ้อเฉลี่ยต่อปี</t>
  </si>
  <si>
    <t>อัตราผลตอบแทนเฉลี่ยหลังเกษียณต่อปี</t>
  </si>
  <si>
    <t>เงินที่ต้องการใช้หลังเกษียณ (ปรับเงินเฟ้อแล้ว)</t>
  </si>
  <si>
    <t>หมวด 3 : การออม</t>
  </si>
  <si>
    <t>เงินที่ออมได้ต่อเดือน (นอกเหนือ กสช.+หุ้นสหกรณ์)</t>
  </si>
  <si>
    <t>เงินออมตั้งต้นที่มีอยู่ในปัจจุบัน</t>
  </si>
  <si>
    <t>บาท</t>
  </si>
  <si>
    <t>อัตราผลตอบแทนเฉลี่ยก่อนเกษียณต่อปี</t>
  </si>
  <si>
    <t>สะสมหุ้นสหกรณ์ฯ ต่อเดือน</t>
  </si>
  <si>
    <t>มูลค่าหุ้นสหกรณ์ปัจจุบัน</t>
  </si>
  <si>
    <t>หมวด 4 : กองทุนสำรองเลี้ยงชีพ (กสช.)</t>
  </si>
  <si>
    <t>อัตราเงินสะสม (ส่วนของพนักงาน)</t>
  </si>
  <si>
    <t>% ของเงินเดือน</t>
  </si>
  <si>
    <t>อัตราเงินสมทบ (ส่วนของนายจ้าง)</t>
  </si>
  <si>
    <t>อัตราผลตอบแทน กสช. เฉลี่ยต่อปี</t>
  </si>
  <si>
    <t>เงินสะสม สะสมล่าสุด (ส่วนพนักงาน)</t>
  </si>
  <si>
    <t>เงินสมทบ สะสมล่าสุด (ส่วนนายจ้าง)</t>
  </si>
  <si>
    <t>ผลประโยชน์เงินสะสม สะสมล่าสุด</t>
  </si>
  <si>
    <t>ผลประโยชน์เงินสมทบ สะสมล่าสุด</t>
  </si>
  <si>
    <t>ผลการคำนวณ</t>
  </si>
  <si>
    <t>จำนวนปีจนถึงเกษียณ (n1)</t>
  </si>
  <si>
    <t>จำนวนปีหลังเกษียณ (n2)</t>
  </si>
  <si>
    <t>ผลตอบแทนที่แท้จริงหลังเกษียณ ต่อปี (ค่าช่วยคำนวณ)</t>
  </si>
  <si>
    <t>ผลตอบแทนที่แท้จริง ต่อเดือน (ค่าช่วยคำนวณ)</t>
  </si>
  <si>
    <t>จำนวนเดือนหลังเกษียณ (ค่าช่วยคำนวณ)</t>
  </si>
  <si>
    <t>เดือน</t>
  </si>
  <si>
    <t>เงินที่ต้องมี ณ วันเกษียณ (รวมทั้งหมด)</t>
  </si>
  <si>
    <t>มูลค่า กสช. ณ วันเกษียณ</t>
  </si>
  <si>
    <t>มูลค่าเงินออมอื่นๆ ณ วันเกษียณ</t>
  </si>
  <si>
    <t>มูลค่าหุ้นสหกรณ์ฯ ณ วันเกษียณ (ไม่คิดผลตอบแทน)</t>
  </si>
  <si>
    <t>รวมเงินที่คาดว่าจะมีทั้งหมด</t>
  </si>
  <si>
    <t>ส่วนต่าง (เกิน / ขาด)</t>
  </si>
  <si>
    <t>% ของเป้าหมาย</t>
  </si>
  <si>
    <t>เครื่องมือนี้จัดทำขึ้นเพื่อการประมาณการเบื้องต้นสำหรับวางแผนส่วนบุคคลเท่านั้น ไม่ใช่คำแนะนำทางการเงินอย่างเป็นทางการ กรุณาตรวจสอบยอด กสช. และเงื่อนไขสิทธิประโยชน์ที่แท้จริงจากหน่วยงานที่เกี่ยวข้องของ กฟภ. หรือบริษัทจัดการกองทุน (ตารางจำลองการเติบโตของ กสช. และเงินออมอยู่ในแท็บ "ตารางจำลอง" หากต้องการตรวจสอบที่มาของตัวเลข)</t>
  </si>
  <si>
    <t>อายุ</t>
  </si>
  <si>
    <t>เงินเดือน (บาท/เดือน)</t>
  </si>
  <si>
    <t>ยอดสะสม กสช. (บาท)</t>
  </si>
  <si>
    <t>ยอดสะสม เงินออมอื่นๆ (บาท)</t>
  </si>
  <si>
    <t>ตารางนี้จำลองการเติบโตของ กสช. และเงินออมส่วนตัวปีต่อปี ตั้งแต่อายุปัจจุบันจนถึงอายุเกษียณ (ใช้โดยสูตร INDEX ในแท็บคำนวณเกษียณ ไม่ต้องแก้ไขตารางนี้)</t>
  </si>
  <si>
    <t>อัตราผลตอบแทน กสช. ต่อเดือน</t>
  </si>
  <si>
    <t>อัตราผลตอบแทนเงินออมอื่น ต่อเดือน</t>
  </si>
  <si>
    <t>อัตราเงินสะสม+เงินสมทบ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</si>
</sst>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%"/>
    <numFmt numFmtId="188" formatCode="0.0000%"/>
  </numFmts>
  <fonts count="1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EDE7F6"/>
      <name val="Arial"/>
      <charset val="1"/>
    </font>
    <font>
      <i/>
      <sz val="9.5"/>
      <color rgb="FF5B32A3"/>
      <name val="Arial"/>
      <charset val="1"/>
    </font>
    <font>
      <b/>
      <sz val="11"/>
      <color rgb="FFFFFFFF"/>
      <name val="Arial"/>
      <charset val="1"/>
    </font>
    <font>
      <sz val="10"/>
      <color rgb="FF221A38"/>
      <name val="Arial"/>
      <charset val="1"/>
    </font>
    <font>
      <b/>
      <sz val="10.5"/>
      <color rgb="FF0000FF"/>
      <name val="Arial"/>
      <charset val="1"/>
    </font>
    <font>
      <sz val="9"/>
      <color rgb="FF615A78"/>
      <name val="Arial"/>
      <charset val="1"/>
    </font>
    <font>
      <b/>
      <sz val="10.5"/>
      <color rgb="FF000000"/>
      <name val="Arial"/>
      <charset val="1"/>
    </font>
    <font>
      <i/>
      <sz val="9"/>
      <color rgb="FF808080"/>
      <name val="Arial"/>
      <charset val="1"/>
    </font>
    <font>
      <b/>
      <sz val="11"/>
      <color rgb="FF221A38"/>
      <name val="Arial"/>
      <charset val="1"/>
    </font>
    <font>
      <i/>
      <sz val="9.5"/>
      <color rgb="FF615A78"/>
      <name val="Arial"/>
      <charset val="1"/>
    </font>
    <font>
      <i/>
      <sz val="8.5"/>
      <color rgb="FF808080"/>
      <name val="Arial"/>
      <charset val="1"/>
    </font>
    <font>
      <b/>
      <sz val="10"/>
      <color rgb="FFFFFFFF"/>
      <name val="Arial"/>
      <charset val="1"/>
    </font>
    <font>
      <sz val="9.5"/>
      <color rgb="FF221A38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D1F6E"/>
        <bgColor rgb="FF221A38"/>
      </patternFill>
    </fill>
    <fill>
      <patternFill patternType="solid">
        <fgColor rgb="FF5B32A3"/>
        <bgColor rgb="FF3D1F6E"/>
      </patternFill>
    </fill>
    <fill>
      <patternFill patternType="solid">
        <fgColor rgb="FFFFF9CC"/>
        <bgColor rgb="FFFFFFFF"/>
      </patternFill>
    </fill>
    <fill>
      <patternFill patternType="solid">
        <fgColor rgb="FFF0991A"/>
        <bgColor rgb="FFFF8080"/>
      </patternFill>
    </fill>
    <fill>
      <patternFill patternType="solid">
        <fgColor rgb="FFEAF6F4"/>
        <bgColor rgb="FFEDE7F6"/>
      </patternFill>
    </fill>
  </fills>
  <borders count="2">
    <border>
      <left/>
      <right/>
      <top/>
      <bottom/>
      <diagonal/>
    </border>
    <border>
      <left style="thin">
        <color rgb="FFE3DEF0"/>
      </left>
      <right style="thin">
        <color rgb="FFE3DEF0"/>
      </right>
      <top style="thin">
        <color rgb="FFE3DEF0"/>
      </top>
      <bottom style="thin">
        <color rgb="FFE3DE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0" xfId="0" applyFont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3" fontId="6" fillId="4" borderId="1" xfId="0" applyNumberFormat="1" applyFont="1" applyFill="1" applyBorder="1" applyAlignment="1">
      <alignment horizontal="right" vertical="center"/>
    </xf>
    <xf numFmtId="187" fontId="6" fillId="4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187" fontId="9" fillId="0" borderId="1" xfId="0" applyNumberFormat="1" applyFont="1" applyBorder="1" applyAlignment="1">
      <alignment horizontal="right" vertical="center"/>
    </xf>
    <xf numFmtId="188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187" fontId="8" fillId="0" borderId="1" xfId="0" applyNumberFormat="1" applyFont="1" applyBorder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right" vertical="center"/>
    </xf>
    <xf numFmtId="3" fontId="14" fillId="0" borderId="0" xfId="0" applyNumberFormat="1" applyFont="1" applyAlignment="1">
      <alignment horizontal="right" vertical="center"/>
    </xf>
    <xf numFmtId="0" fontId="9" fillId="0" borderId="0" xfId="0" applyFont="1"/>
    <xf numFmtId="188" fontId="9" fillId="0" borderId="0" xfId="0" applyNumberFormat="1" applyFont="1"/>
    <xf numFmtId="187" fontId="9" fillId="0" borderId="0" xfId="0" applyNumberFormat="1" applyFont="1"/>
    <xf numFmtId="0" fontId="1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ปกติ" xfId="0" builtinId="0"/>
  </cellStyles>
  <dxfs count="5">
    <dxf>
      <font>
        <b/>
        <sz val="10"/>
        <color rgb="FFC7443F"/>
        <name val="Arial"/>
        <charset val="1"/>
      </font>
    </dxf>
    <dxf>
      <font>
        <b/>
        <sz val="10"/>
        <color rgb="FF1B8A5A"/>
        <name val="Arial"/>
        <charset val="1"/>
      </font>
    </dxf>
    <dxf>
      <font>
        <b/>
        <i/>
        <sz val="9"/>
        <color rgb="FFC7443F"/>
        <name val="Arial"/>
        <charset val="1"/>
      </font>
    </dxf>
    <dxf>
      <font>
        <b/>
        <sz val="11"/>
        <color rgb="FFC7443F"/>
        <name val="Arial"/>
        <charset val="1"/>
      </font>
    </dxf>
    <dxf>
      <font>
        <b/>
        <sz val="11"/>
        <color rgb="FF1B8A5A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7443F"/>
      <rgbColor rgb="FFFFF9CC"/>
      <rgbColor rgb="FFEAF6F4"/>
      <rgbColor rgb="FF660066"/>
      <rgbColor rgb="FFFF8080"/>
      <rgbColor rgb="FF0066CC"/>
      <rgbColor rgb="FFE3DE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7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991A"/>
      <rgbColor rgb="FFFF6600"/>
      <rgbColor rgb="FF615A78"/>
      <rgbColor rgb="FF969696"/>
      <rgbColor rgb="FF003366"/>
      <rgbColor rgb="FF1B8A5A"/>
      <rgbColor rgb="FF003300"/>
      <rgbColor rgb="FF333300"/>
      <rgbColor rgb="FF993300"/>
      <rgbColor rgb="FF5B32A3"/>
      <rgbColor rgb="FF3D1F6E"/>
      <rgbColor rgb="FF221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1"/>
  <sheetViews>
    <sheetView showGridLines="0" tabSelected="1" zoomScaleNormal="10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C29" sqref="C29"/>
    </sheetView>
  </sheetViews>
  <sheetFormatPr defaultColWidth="8.7109375" defaultRowHeight="15" x14ac:dyDescent="0.25"/>
  <cols>
    <col min="1" max="1" width="2" customWidth="1"/>
    <col min="2" max="2" width="48" customWidth="1"/>
    <col min="3" max="3" width="16" customWidth="1"/>
    <col min="4" max="4" width="20" customWidth="1"/>
    <col min="5" max="5" width="4" customWidth="1"/>
  </cols>
  <sheetData>
    <row r="1" spans="2:5" ht="25.5" customHeight="1" x14ac:dyDescent="0.25">
      <c r="B1" s="25" t="s">
        <v>0</v>
      </c>
      <c r="C1" s="25"/>
      <c r="D1" s="25"/>
      <c r="E1" s="25"/>
    </row>
    <row r="2" spans="2:5" ht="25.5" customHeight="1" x14ac:dyDescent="0.25">
      <c r="B2" s="26" t="s">
        <v>1</v>
      </c>
      <c r="C2" s="26"/>
      <c r="D2" s="26"/>
      <c r="E2" s="26"/>
    </row>
    <row r="4" spans="2:5" ht="15" customHeight="1" x14ac:dyDescent="0.25">
      <c r="B4" s="27" t="s">
        <v>2</v>
      </c>
      <c r="C4" s="27"/>
      <c r="D4" s="27"/>
      <c r="E4" s="27"/>
    </row>
    <row r="6" spans="2:5" ht="19.5" customHeight="1" x14ac:dyDescent="0.25">
      <c r="B6" s="21" t="s">
        <v>3</v>
      </c>
      <c r="C6" s="21"/>
      <c r="D6" s="21"/>
      <c r="E6" s="21"/>
    </row>
    <row r="7" spans="2:5" x14ac:dyDescent="0.25">
      <c r="B7" s="1" t="s">
        <v>4</v>
      </c>
      <c r="C7" s="2">
        <v>40</v>
      </c>
      <c r="D7" s="3" t="s">
        <v>5</v>
      </c>
    </row>
    <row r="8" spans="2:5" x14ac:dyDescent="0.25">
      <c r="B8" s="1" t="s">
        <v>6</v>
      </c>
      <c r="C8" s="2">
        <v>60</v>
      </c>
      <c r="D8" s="3" t="s">
        <v>5</v>
      </c>
    </row>
    <row r="9" spans="2:5" x14ac:dyDescent="0.25">
      <c r="B9" s="1" t="s">
        <v>7</v>
      </c>
      <c r="C9" s="2">
        <v>85</v>
      </c>
      <c r="D9" s="3" t="s">
        <v>5</v>
      </c>
    </row>
    <row r="10" spans="2:5" x14ac:dyDescent="0.25">
      <c r="B10" s="1" t="s">
        <v>8</v>
      </c>
      <c r="C10" s="4">
        <v>30160</v>
      </c>
      <c r="D10" s="3" t="s">
        <v>9</v>
      </c>
    </row>
    <row r="11" spans="2:5" x14ac:dyDescent="0.25">
      <c r="B11" s="1" t="s">
        <v>10</v>
      </c>
      <c r="C11" s="5">
        <v>7.0000000000000007E-2</v>
      </c>
      <c r="D11" s="3" t="s">
        <v>11</v>
      </c>
    </row>
    <row r="13" spans="2:5" ht="19.5" customHeight="1" x14ac:dyDescent="0.25">
      <c r="B13" s="21" t="s">
        <v>12</v>
      </c>
      <c r="C13" s="21"/>
      <c r="D13" s="21"/>
      <c r="E13" s="21"/>
    </row>
    <row r="14" spans="2:5" x14ac:dyDescent="0.25">
      <c r="B14" s="1" t="s">
        <v>13</v>
      </c>
      <c r="C14" s="4">
        <v>25000</v>
      </c>
      <c r="D14" s="3" t="s">
        <v>9</v>
      </c>
    </row>
    <row r="15" spans="2:5" x14ac:dyDescent="0.25">
      <c r="B15" s="1" t="s">
        <v>14</v>
      </c>
      <c r="C15" s="5">
        <v>0.03</v>
      </c>
      <c r="D15" s="3" t="s">
        <v>11</v>
      </c>
    </row>
    <row r="16" spans="2:5" x14ac:dyDescent="0.25">
      <c r="B16" s="1" t="s">
        <v>15</v>
      </c>
      <c r="C16" s="5">
        <v>0.05</v>
      </c>
      <c r="D16" s="3" t="s">
        <v>11</v>
      </c>
    </row>
    <row r="17" spans="2:5" x14ac:dyDescent="0.25">
      <c r="B17" s="1" t="s">
        <v>16</v>
      </c>
      <c r="C17" s="6">
        <f>C14*(1+C15)^(C8-C7)</f>
        <v>45152.780866735331</v>
      </c>
      <c r="D17" s="3" t="s">
        <v>9</v>
      </c>
    </row>
    <row r="19" spans="2:5" ht="19.5" customHeight="1" x14ac:dyDescent="0.25">
      <c r="B19" s="21" t="s">
        <v>17</v>
      </c>
      <c r="C19" s="21"/>
      <c r="D19" s="21"/>
      <c r="E19" s="21"/>
    </row>
    <row r="20" spans="2:5" x14ac:dyDescent="0.25">
      <c r="B20" s="1" t="s">
        <v>18</v>
      </c>
      <c r="C20" s="4">
        <v>0</v>
      </c>
      <c r="D20" s="3" t="s">
        <v>9</v>
      </c>
    </row>
    <row r="21" spans="2:5" x14ac:dyDescent="0.25">
      <c r="B21" s="1" t="s">
        <v>19</v>
      </c>
      <c r="C21" s="4">
        <v>0</v>
      </c>
      <c r="D21" s="3" t="s">
        <v>20</v>
      </c>
    </row>
    <row r="22" spans="2:5" x14ac:dyDescent="0.25">
      <c r="B22" s="1" t="s">
        <v>21</v>
      </c>
      <c r="C22" s="5">
        <v>0.05</v>
      </c>
      <c r="D22" s="3" t="s">
        <v>11</v>
      </c>
    </row>
    <row r="23" spans="2:5" x14ac:dyDescent="0.25">
      <c r="B23" s="1" t="s">
        <v>22</v>
      </c>
      <c r="C23" s="4">
        <v>1000</v>
      </c>
      <c r="D23" s="3" t="s">
        <v>9</v>
      </c>
    </row>
    <row r="24" spans="2:5" x14ac:dyDescent="0.25">
      <c r="B24" s="1" t="s">
        <v>23</v>
      </c>
      <c r="C24" s="4">
        <v>150000</v>
      </c>
      <c r="D24" s="3" t="s">
        <v>20</v>
      </c>
    </row>
    <row r="26" spans="2:5" ht="19.5" customHeight="1" x14ac:dyDescent="0.25">
      <c r="B26" s="21" t="s">
        <v>24</v>
      </c>
      <c r="C26" s="21"/>
      <c r="D26" s="21"/>
      <c r="E26" s="21"/>
    </row>
    <row r="27" spans="2:5" x14ac:dyDescent="0.25">
      <c r="B27" s="1" t="s">
        <v>25</v>
      </c>
      <c r="C27" s="5">
        <v>7.0000000000000007E-2</v>
      </c>
      <c r="D27" s="3" t="s">
        <v>26</v>
      </c>
    </row>
    <row r="28" spans="2:5" x14ac:dyDescent="0.25">
      <c r="B28" s="1" t="s">
        <v>27</v>
      </c>
      <c r="C28" s="5">
        <v>0.1</v>
      </c>
      <c r="D28" s="3" t="s">
        <v>26</v>
      </c>
    </row>
    <row r="29" spans="2:5" x14ac:dyDescent="0.25">
      <c r="B29" s="1" t="s">
        <v>28</v>
      </c>
      <c r="C29" s="5">
        <v>7.0000000000000007E-2</v>
      </c>
      <c r="D29" s="3" t="s">
        <v>11</v>
      </c>
    </row>
    <row r="30" spans="2:5" x14ac:dyDescent="0.25">
      <c r="B30" s="1" t="s">
        <v>29</v>
      </c>
      <c r="C30" s="4">
        <v>26519.919999999998</v>
      </c>
      <c r="D30" s="3" t="s">
        <v>20</v>
      </c>
    </row>
    <row r="31" spans="2:5" x14ac:dyDescent="0.25">
      <c r="B31" s="1" t="s">
        <v>30</v>
      </c>
      <c r="C31" s="4">
        <v>36487.800000000003</v>
      </c>
      <c r="D31" s="3" t="s">
        <v>20</v>
      </c>
    </row>
    <row r="32" spans="2:5" x14ac:dyDescent="0.25">
      <c r="B32" s="1" t="s">
        <v>31</v>
      </c>
      <c r="C32" s="4">
        <v>1900.05</v>
      </c>
      <c r="D32" s="3" t="s">
        <v>20</v>
      </c>
    </row>
    <row r="33" spans="2:5" x14ac:dyDescent="0.25">
      <c r="B33" s="1" t="s">
        <v>32</v>
      </c>
      <c r="C33" s="4">
        <v>2544.02</v>
      </c>
      <c r="D33" s="3" t="s">
        <v>20</v>
      </c>
    </row>
    <row r="35" spans="2:5" ht="19.5" customHeight="1" x14ac:dyDescent="0.25">
      <c r="B35" s="22" t="s">
        <v>33</v>
      </c>
      <c r="C35" s="22"/>
      <c r="D35" s="22"/>
      <c r="E35" s="22"/>
    </row>
    <row r="36" spans="2:5" x14ac:dyDescent="0.25">
      <c r="B36" s="1" t="s">
        <v>34</v>
      </c>
      <c r="C36" s="7">
        <f>C8-C7</f>
        <v>20</v>
      </c>
      <c r="D36" s="3" t="s">
        <v>5</v>
      </c>
    </row>
    <row r="37" spans="2:5" x14ac:dyDescent="0.25">
      <c r="B37" s="1" t="s">
        <v>35</v>
      </c>
      <c r="C37" s="7">
        <f>C9-C8</f>
        <v>25</v>
      </c>
      <c r="D37" s="3" t="s">
        <v>5</v>
      </c>
    </row>
    <row r="38" spans="2:5" x14ac:dyDescent="0.25">
      <c r="B38" s="8" t="s">
        <v>36</v>
      </c>
      <c r="C38" s="9">
        <f>(1+C16)/(1+C15)-1</f>
        <v>1.9417475728155331E-2</v>
      </c>
    </row>
    <row r="39" spans="2:5" x14ac:dyDescent="0.25">
      <c r="B39" s="8" t="s">
        <v>37</v>
      </c>
      <c r="C39" s="10">
        <f>(1+C38)^(1/12)-1</f>
        <v>1.6038983652886252E-3</v>
      </c>
    </row>
    <row r="40" spans="2:5" x14ac:dyDescent="0.25">
      <c r="B40" s="8" t="s">
        <v>38</v>
      </c>
      <c r="C40" s="11">
        <f>C37*12</f>
        <v>300</v>
      </c>
      <c r="D40" s="12" t="s">
        <v>39</v>
      </c>
    </row>
    <row r="41" spans="2:5" x14ac:dyDescent="0.25">
      <c r="B41" s="1" t="s">
        <v>40</v>
      </c>
      <c r="C41" s="6">
        <f>IF(C40&lt;=0,0,IF(ABS(C39)&lt;0.0000001,C17*C40,C17*(1-(1+C39)^(-C40))/C39*(1+C39)))</f>
        <v>10762858.1157353</v>
      </c>
      <c r="D41" s="3" t="s">
        <v>20</v>
      </c>
    </row>
    <row r="42" spans="2:5" x14ac:dyDescent="0.25">
      <c r="B42" s="1" t="s">
        <v>41</v>
      </c>
      <c r="C42" s="6">
        <f>INDEX(ตารางจำลอง!C2:C67,C36+1)</f>
        <v>4852289.9515535682</v>
      </c>
      <c r="D42" s="3" t="s">
        <v>20</v>
      </c>
    </row>
    <row r="43" spans="2:5" x14ac:dyDescent="0.25">
      <c r="B43" s="1" t="s">
        <v>42</v>
      </c>
      <c r="C43" s="6">
        <f>INDEX(ตารางจำลอง!D2:D67,C36+1)</f>
        <v>0</v>
      </c>
      <c r="D43" s="3" t="s">
        <v>20</v>
      </c>
    </row>
    <row r="44" spans="2:5" x14ac:dyDescent="0.25">
      <c r="B44" s="1" t="s">
        <v>43</v>
      </c>
      <c r="C44" s="6">
        <f>C24+C23*C36*12</f>
        <v>390000</v>
      </c>
      <c r="D44" s="3" t="s">
        <v>20</v>
      </c>
    </row>
    <row r="45" spans="2:5" x14ac:dyDescent="0.25">
      <c r="B45" s="1" t="s">
        <v>44</v>
      </c>
      <c r="C45" s="6">
        <f>C42+C43+C44</f>
        <v>5242289.9515535682</v>
      </c>
      <c r="D45" s="3" t="s">
        <v>20</v>
      </c>
    </row>
    <row r="46" spans="2:5" x14ac:dyDescent="0.25">
      <c r="B46" s="1" t="s">
        <v>45</v>
      </c>
      <c r="C46" s="6">
        <f>C45-C41</f>
        <v>-5520568.1641817316</v>
      </c>
      <c r="D46" s="3" t="s">
        <v>20</v>
      </c>
    </row>
    <row r="47" spans="2:5" x14ac:dyDescent="0.25">
      <c r="B47" s="1" t="s">
        <v>46</v>
      </c>
      <c r="C47" s="13">
        <f>IF(C41=0,1,C45/C41)</f>
        <v>0.4870722902022967</v>
      </c>
    </row>
    <row r="48" spans="2:5" ht="48" customHeight="1" x14ac:dyDescent="0.25">
      <c r="B48" s="23" t="str">
        <f>IF(C46&gt;=0,"✅ ยินดีด้วย! แผนของคุณเพียงพอสำหรับวัยเกษียณ เกินเป้าหมายอยู่ "&amp;TEXT(C46,"#,##0")&amp;" บาท ("&amp;TEXT(C47-1,"0.0%")&amp;" ของเป้าหมาย) รักษาวินัยการออมนี้ไว้อย่างต่อเนื่อง","⚠️ แผนของคุณยังไม่เพียงพอ ขาดอยู่ "&amp;TEXT(ABS(C46),"#,##0")&amp;" บาท (ขาดอีก "&amp;TEXT(1-C47,"0.0%")&amp;" ของเป้าหมาย) ลองปรับเพิ่มอัตราเงินสะสม กสช. เงินออมต่อเดือน หรือปรับลดเงินที่ต้องการใช้หลังเกษียณ")</f>
        <v>⚠️ แผนของคุณยังไม่เพียงพอ ขาดอยู่ 5,520,568 บาท (ขาดอีก 51.3% ของเป้าหมาย) ลองปรับเพิ่มอัตราเงินสะสม กสช. เงินออมต่อเดือน หรือปรับลดเงินที่ต้องการใช้หลังเกษียณ</v>
      </c>
      <c r="C48" s="23"/>
      <c r="D48" s="23"/>
      <c r="E48" s="23"/>
    </row>
    <row r="49" spans="2:5" ht="15.75" customHeight="1" x14ac:dyDescent="0.25">
      <c r="B49" s="24" t="str">
        <f>IF(AND(C8&gt;C7,C9&gt;C8),"✅ ข้อมูลอายุถูกต้อง","⚠️ กรุณาตรวจสอบ: อายุที่ต้องการเกษียณต้องมากกว่าอายุปัจจุบัน และอายุขัยต้องมากกว่าอายุเกษียณ")</f>
        <v>✅ ข้อมูลอายุถูกต้อง</v>
      </c>
      <c r="C49" s="24"/>
      <c r="D49" s="24"/>
      <c r="E49" s="24"/>
    </row>
    <row r="51" spans="2:5" ht="39.75" customHeight="1" x14ac:dyDescent="0.25">
      <c r="B51" s="20" t="s">
        <v>47</v>
      </c>
      <c r="C51" s="20"/>
      <c r="D51" s="20"/>
      <c r="E51" s="20"/>
    </row>
  </sheetData>
  <mergeCells count="11">
    <mergeCell ref="B1:E1"/>
    <mergeCell ref="B2:E2"/>
    <mergeCell ref="B4:E4"/>
    <mergeCell ref="B6:E6"/>
    <mergeCell ref="B13:E13"/>
    <mergeCell ref="B51:E51"/>
    <mergeCell ref="B19:E19"/>
    <mergeCell ref="B26:E26"/>
    <mergeCell ref="B35:E35"/>
    <mergeCell ref="B48:E48"/>
    <mergeCell ref="B49:E49"/>
  </mergeCells>
  <conditionalFormatting sqref="B48:E48">
    <cfRule type="expression" dxfId="4" priority="4">
      <formula>$C$46&gt;=0</formula>
    </cfRule>
    <cfRule type="expression" dxfId="3" priority="5">
      <formula>$C$46&lt;0</formula>
    </cfRule>
  </conditionalFormatting>
  <conditionalFormatting sqref="B49:E49">
    <cfRule type="expression" dxfId="2" priority="6">
      <formula>NOT(AND($C$8&gt;$C$7,$C$9&gt;$C$8))</formula>
    </cfRule>
  </conditionalFormatting>
  <conditionalFormatting sqref="C46">
    <cfRule type="cellIs" dxfId="1" priority="2" operator="greaterThanOrEqual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3" width="18" customWidth="1"/>
    <col min="4" max="4" width="20" customWidth="1"/>
    <col min="6" max="6" width="34" customWidth="1"/>
    <col min="7" max="7" width="12" customWidth="1"/>
  </cols>
  <sheetData>
    <row r="1" spans="1:7" ht="30" customHeight="1" x14ac:dyDescent="0.25">
      <c r="A1" s="14" t="s">
        <v>48</v>
      </c>
      <c r="B1" s="14" t="s">
        <v>49</v>
      </c>
      <c r="C1" s="14" t="s">
        <v>50</v>
      </c>
      <c r="D1" s="14" t="s">
        <v>51</v>
      </c>
      <c r="F1" s="20" t="s">
        <v>52</v>
      </c>
      <c r="G1" s="20"/>
    </row>
    <row r="2" spans="1:7" x14ac:dyDescent="0.25">
      <c r="A2" s="15">
        <f>คำนวณเกษียณ!C7</f>
        <v>40</v>
      </c>
      <c r="B2" s="16">
        <f>คำนวณเกษียณ!C10</f>
        <v>30160</v>
      </c>
      <c r="C2" s="16">
        <f>คำนวณเกษียณ!C30+คำนวณเกษียณ!C31+คำนวณเกษียณ!C32+คำนวณเกษียณ!C33</f>
        <v>67451.790000000008</v>
      </c>
      <c r="D2" s="16">
        <f>คำนวณเกษียณ!C21</f>
        <v>0</v>
      </c>
      <c r="F2" s="17" t="s">
        <v>53</v>
      </c>
      <c r="G2" s="18">
        <f>(1+คำนวณเกษียณ!C29)^(1/12)-1</f>
        <v>5.6541453874052738E-3</v>
      </c>
    </row>
    <row r="3" spans="1:7" x14ac:dyDescent="0.25">
      <c r="A3" s="15">
        <f t="shared" ref="A3:A34" si="0">A2+1</f>
        <v>41</v>
      </c>
      <c r="B3" s="16">
        <f>IF(A2&gt;=คำนวณเกษียณ!$C$8,B2,B2*(1+คำนวณเกษียณ!$C$11))</f>
        <v>32271.200000000001</v>
      </c>
      <c r="C3" s="16">
        <f>IF(A2&gt;=คำนวณเกษียณ!$C$8,C2,IFERROR(C2*(1+$G$2)^12+B2*$G$4*((1+$G$2)^12-1)/$G$2,C2+B2*$G$4*12))</f>
        <v>135649.67482446617</v>
      </c>
      <c r="D3" s="16">
        <f>IF(A2&gt;=คำนวณเกษียณ!$C$8,D2,IFERROR(D2*(1+$G$3)^12+คำนวณเกษียณ!$C$20*((1+$G$3)^12-1)/$G$3,D2+คำนวณเกษียณ!$C$20*12))</f>
        <v>0</v>
      </c>
      <c r="F3" s="17" t="s">
        <v>54</v>
      </c>
      <c r="G3" s="18">
        <f>(1+คำนวณเกษียณ!C22)^(1/12)-1</f>
        <v>4.0741237836483535E-3</v>
      </c>
    </row>
    <row r="4" spans="1:7" x14ac:dyDescent="0.25">
      <c r="A4" s="15">
        <f t="shared" si="0"/>
        <v>42</v>
      </c>
      <c r="B4" s="16">
        <f>IF(A3&gt;=คำนวณเกษียณ!$C$8,B3,B3*(1+คำนวณเกษียณ!$C$11))</f>
        <v>34530.184000000001</v>
      </c>
      <c r="C4" s="16">
        <f>IF(A3&gt;=คำนวณเกษียณ!$C$8,C3,IFERROR(C3*(1+$G$2)^12+B3*$G$4*((1+$G$2)^12-1)/$G$2,C3+B3*$G$4*12))</f>
        <v>213064.74975335761</v>
      </c>
      <c r="D4" s="16">
        <f>IF(A3&gt;=คำนวณเกษียณ!$C$8,D3,IFERROR(D3*(1+$G$3)^12+คำนวณเกษียณ!$C$20*((1+$G$3)^12-1)/$G$3,D3+คำนวณเกษียณ!$C$20*12))</f>
        <v>0</v>
      </c>
      <c r="F4" s="17" t="s">
        <v>55</v>
      </c>
      <c r="G4" s="19">
        <f>คำนวณเกษียณ!C27+คำนวณเกษียณ!C28</f>
        <v>0.17</v>
      </c>
    </row>
    <row r="5" spans="1:7" x14ac:dyDescent="0.25">
      <c r="A5" s="15">
        <f t="shared" si="0"/>
        <v>43</v>
      </c>
      <c r="B5" s="16">
        <f>IF(A4&gt;=คำนวณเกษียณ!$C$8,B4,B4*(1+คำนวณเกษียณ!$C$11))</f>
        <v>36947.296880000002</v>
      </c>
      <c r="C5" s="16">
        <f>IF(A4&gt;=คำนวณเกษียณ!$C$8,C4,IFERROR(C4*(1+$G$2)^12+B4*$G$4*((1+$G$2)^12-1)/$G$2,C4+B4*$G$4*12))</f>
        <v>300653.25176565396</v>
      </c>
      <c r="D5" s="16">
        <f>IF(A4&gt;=คำนวณเกษียณ!$C$8,D4,IFERROR(D4*(1+$G$3)^12+คำนวณเกษียณ!$C$20*((1+$G$3)^12-1)/$G$3,D4+คำนวณเกษียณ!$C$20*12))</f>
        <v>0</v>
      </c>
    </row>
    <row r="6" spans="1:7" x14ac:dyDescent="0.25">
      <c r="A6" s="15">
        <f t="shared" si="0"/>
        <v>44</v>
      </c>
      <c r="B6" s="16">
        <f>IF(A5&gt;=คำนวณเกษียณ!$C$8,B5,B5*(1+คำนวณเกษียณ!$C$11))</f>
        <v>39533.607661600006</v>
      </c>
      <c r="C6" s="16">
        <f>IF(A5&gt;=คำนวณเกษียณ!$C$8,C5,IFERROR(C5*(1+$G$2)^12+B5*$G$4*((1+$G$2)^12-1)/$G$2,C5+B5*$G$4*12))</f>
        <v>399460.1267858803</v>
      </c>
      <c r="D6" s="16">
        <f>IF(A5&gt;=คำนวณเกษียณ!$C$8,D5,IFERROR(D5*(1+$G$3)^12+คำนวณเกษียณ!$C$20*((1+$G$3)^12-1)/$G$3,D5+คำนวณเกษียณ!$C$20*12))</f>
        <v>0</v>
      </c>
    </row>
    <row r="7" spans="1:7" x14ac:dyDescent="0.25">
      <c r="A7" s="15">
        <f t="shared" si="0"/>
        <v>45</v>
      </c>
      <c r="B7" s="16">
        <f>IF(A6&gt;=คำนวณเกษียณ!$C$8,B6,B6*(1+คำนวณเกษียณ!$C$11))</f>
        <v>42300.960197912013</v>
      </c>
      <c r="C7" s="16">
        <f>IF(A6&gt;=คำนวณเกษียณ!$C$8,C6,IFERROR(C6*(1+$G$2)^12+B6*$G$4*((1+$G$2)^12-1)/$G$2,C6+B6*$G$4*12))</f>
        <v>510626.76337528671</v>
      </c>
      <c r="D7" s="16">
        <f>IF(A6&gt;=คำนวณเกษียณ!$C$8,D6,IFERROR(D6*(1+$G$3)^12+คำนวณเกษียณ!$C$20*((1+$G$3)^12-1)/$G$3,D6+คำนวณเกษียณ!$C$20*12))</f>
        <v>0</v>
      </c>
    </row>
    <row r="8" spans="1:7" x14ac:dyDescent="0.25">
      <c r="A8" s="15">
        <f t="shared" si="0"/>
        <v>46</v>
      </c>
      <c r="B8" s="16">
        <f>IF(A7&gt;=คำนวณเกษียณ!$C$8,B7,B7*(1+คำนวณเกษียณ!$C$11))</f>
        <v>45262.027411765856</v>
      </c>
      <c r="C8" s="16">
        <f>IF(A7&gt;=คำนวณเกษียณ!$C$8,C7,IFERROR(C7*(1+$G$2)^12+B7*$G$4*((1+$G$2)^12-1)/$G$2,C7+B7*$G$4*12))</f>
        <v>635399.37446595915</v>
      </c>
      <c r="D8" s="16">
        <f>IF(A7&gt;=คำนวณเกษียณ!$C$8,D7,IFERROR(D7*(1+$G$3)^12+คำนวณเกษียณ!$C$20*((1+$G$3)^12-1)/$G$3,D7+คำนวณเกษียณ!$C$20*12))</f>
        <v>0</v>
      </c>
    </row>
    <row r="9" spans="1:7" x14ac:dyDescent="0.25">
      <c r="A9" s="15">
        <f t="shared" si="0"/>
        <v>47</v>
      </c>
      <c r="B9" s="16">
        <f>IF(A8&gt;=คำนวณเกษียณ!$C$8,B8,B8*(1+คำนวณเกษียณ!$C$11))</f>
        <v>48430.36933058947</v>
      </c>
      <c r="C9" s="16">
        <f>IF(A8&gt;=คำนวณเกษียณ!$C$8,C8,IFERROR(C8*(1+$G$2)^12+B8*$G$4*((1+$G$2)^12-1)/$G$2,C8+B8*$G$4*12))</f>
        <v>775138.07996878691</v>
      </c>
      <c r="D9" s="16">
        <f>IF(A8&gt;=คำนวณเกษียณ!$C$8,D8,IFERROR(D8*(1+$G$3)^12+คำนวณเกษียณ!$C$20*((1+$G$3)^12-1)/$G$3,D8+คำนวณเกษียณ!$C$20*12))</f>
        <v>0</v>
      </c>
    </row>
    <row r="10" spans="1:7" x14ac:dyDescent="0.25">
      <c r="A10" s="15">
        <f t="shared" si="0"/>
        <v>48</v>
      </c>
      <c r="B10" s="16">
        <f>IF(A9&gt;=คำนวณเกษียณ!$C$8,B9,B9*(1+คำนวณเกษียณ!$C$11))</f>
        <v>51820.495183730738</v>
      </c>
      <c r="C10" s="16">
        <f>IF(A9&gt;=คำนวณเกษียณ!$C$8,C9,IFERROR(C9*(1+$G$2)^12+B9*$G$4*((1+$G$2)^12-1)/$G$2,C9+B9*$G$4*12))</f>
        <v>931326.74730712734</v>
      </c>
      <c r="D10" s="16">
        <f>IF(A9&gt;=คำนวณเกษียณ!$C$8,D9,IFERROR(D9*(1+$G$3)^12+คำนวณเกษียณ!$C$20*((1+$G$3)^12-1)/$G$3,D9+คำนวณเกษียณ!$C$20*12))</f>
        <v>0</v>
      </c>
    </row>
    <row r="11" spans="1:7" x14ac:dyDescent="0.25">
      <c r="A11" s="15">
        <f t="shared" si="0"/>
        <v>49</v>
      </c>
      <c r="B11" s="16">
        <f>IF(A10&gt;=คำนวณเกษียณ!$C$8,B10,B10*(1+คำนวณเกษียณ!$C$11))</f>
        <v>55447.929846591891</v>
      </c>
      <c r="C11" s="16">
        <f>IF(A10&gt;=คำนวณเกษียณ!$C$8,C10,IFERROR(C10*(1+$G$2)^12+B10*$G$4*((1+$G$2)^12-1)/$G$2,C10+B10*$G$4*12))</f>
        <v>1105583.6514809884</v>
      </c>
      <c r="D11" s="16">
        <f>IF(A10&gt;=คำนวณเกษียณ!$C$8,D10,IFERROR(D10*(1+$G$3)^12+คำนวณเกษียณ!$C$20*((1+$G$3)^12-1)/$G$3,D10+คำนวณเกษียณ!$C$20*12))</f>
        <v>0</v>
      </c>
    </row>
    <row r="12" spans="1:7" x14ac:dyDescent="0.25">
      <c r="A12" s="15">
        <f t="shared" si="0"/>
        <v>50</v>
      </c>
      <c r="B12" s="16">
        <f>IF(A11&gt;=คำนวณเกษียณ!$C$8,B11,B11*(1+คำนวณเกษียณ!$C$11))</f>
        <v>59329.284935853328</v>
      </c>
      <c r="C12" s="16">
        <f>IF(A11&gt;=คำนวณเกษียณ!$C$8,C11,IFERROR(C11*(1+$G$2)^12+B11*$G$4*((1+$G$2)^12-1)/$G$2,C11+B11*$G$4*12))</f>
        <v>1299673.021177385</v>
      </c>
      <c r="D12" s="16">
        <f>IF(A11&gt;=คำนวณเกษียณ!$C$8,D11,IFERROR(D11*(1+$G$3)^12+คำนวณเกษียณ!$C$20*((1+$G$3)^12-1)/$G$3,D11+คำนวณเกษียณ!$C$20*12))</f>
        <v>0</v>
      </c>
    </row>
    <row r="13" spans="1:7" x14ac:dyDescent="0.25">
      <c r="A13" s="15">
        <f t="shared" si="0"/>
        <v>51</v>
      </c>
      <c r="B13" s="16">
        <f>IF(A12&gt;=คำนวณเกษียณ!$C$8,B12,B12*(1+คำนวณเกษียณ!$C$11))</f>
        <v>63482.334881363066</v>
      </c>
      <c r="C13" s="16">
        <f>IF(A12&gt;=คำนวณเกษียณ!$C$8,C12,IFERROR(C12*(1+$G$2)^12+B12*$G$4*((1+$G$2)^12-1)/$G$2,C12+B12*$G$4*12))</f>
        <v>1515517.5427390204</v>
      </c>
      <c r="D13" s="16">
        <f>IF(A12&gt;=คำนวณเกษียณ!$C$8,D12,IFERROR(D12*(1+$G$3)^12+คำนวณเกษียณ!$C$20*((1+$G$3)^12-1)/$G$3,D12+คำนวณเกษียณ!$C$20*12))</f>
        <v>0</v>
      </c>
    </row>
    <row r="14" spans="1:7" x14ac:dyDescent="0.25">
      <c r="A14" s="15">
        <f t="shared" si="0"/>
        <v>52</v>
      </c>
      <c r="B14" s="16">
        <f>IF(A13&gt;=คำนวณเกษียณ!$C$8,B13,B13*(1+คำนวณเกษียณ!$C$11))</f>
        <v>67926.098323058482</v>
      </c>
      <c r="C14" s="16">
        <f>IF(A13&gt;=คำนวณเกษียณ!$C$8,C13,IFERROR(C13*(1+$G$2)^12+B13*$G$4*((1+$G$2)^12-1)/$G$2,C13+B13*$G$4*12))</f>
        <v>1755211.8995155157</v>
      </c>
      <c r="D14" s="16">
        <f>IF(A13&gt;=คำนวณเกษียณ!$C$8,D13,IFERROR(D13*(1+$G$3)^12+คำนวณเกษียณ!$C$20*((1+$G$3)^12-1)/$G$3,D13+คำนวณเกษียณ!$C$20*12))</f>
        <v>0</v>
      </c>
    </row>
    <row r="15" spans="1:7" x14ac:dyDescent="0.25">
      <c r="A15" s="15">
        <f t="shared" si="0"/>
        <v>53</v>
      </c>
      <c r="B15" s="16">
        <f>IF(A14&gt;=คำนวณเกษียณ!$C$8,B14,B14*(1+คำนวณเกษียณ!$C$11))</f>
        <v>72680.925205672582</v>
      </c>
      <c r="C15" s="16">
        <f>IF(A14&gt;=คำนวณเกษียณ!$C$8,C14,IFERROR(C14*(1+$G$2)^12+B14*$G$4*((1+$G$2)^12-1)/$G$2,C14+B14*$G$4*12))</f>
        <v>2021037.4302812989</v>
      </c>
      <c r="D15" s="16">
        <f>IF(A14&gt;=คำนวณเกษียณ!$C$8,D14,IFERROR(D14*(1+$G$3)^12+คำนวณเกษียณ!$C$20*((1+$G$3)^12-1)/$G$3,D14+คำนวณเกษียณ!$C$20*12))</f>
        <v>0</v>
      </c>
    </row>
    <row r="16" spans="1:7" x14ac:dyDescent="0.25">
      <c r="A16" s="15">
        <f t="shared" si="0"/>
        <v>54</v>
      </c>
      <c r="B16" s="16">
        <f>IF(A15&gt;=คำนวณเกษียณ!$C$8,B15,B15*(1+คำนวณเกษียณ!$C$11))</f>
        <v>77768.589970069661</v>
      </c>
      <c r="C16" s="16">
        <f>IF(A15&gt;=คำนวณเกษียณ!$C$8,C15,IFERROR(C15*(1+$G$2)^12+B15*$G$4*((1+$G$2)^12-1)/$G$2,C15+B15*$G$4*12))</f>
        <v>2315477.9970466662</v>
      </c>
      <c r="D16" s="16">
        <f>IF(A15&gt;=คำนวณเกษียณ!$C$8,D15,IFERROR(D15*(1+$G$3)^12+คำนวณเกษียณ!$C$20*((1+$G$3)^12-1)/$G$3,D15+คำนวณเกษียณ!$C$20*12))</f>
        <v>0</v>
      </c>
    </row>
    <row r="17" spans="1:4" x14ac:dyDescent="0.25">
      <c r="A17" s="15">
        <f t="shared" si="0"/>
        <v>55</v>
      </c>
      <c r="B17" s="16">
        <f>IF(A16&gt;=คำนวณเกษียณ!$C$8,B16,B16*(1+คำนวณเกษียณ!$C$11))</f>
        <v>83212.391267974541</v>
      </c>
      <c r="C17" s="16">
        <f>IF(A16&gt;=คำนวณเกษียณ!$C$8,C16,IFERROR(C16*(1+$G$2)^12+B16*$G$4*((1+$G$2)^12-1)/$G$2,C16+B16*$G$4*12))</f>
        <v>2641237.1597508062</v>
      </c>
      <c r="D17" s="16">
        <f>IF(A16&gt;=คำนวณเกษียณ!$C$8,D16,IFERROR(D16*(1+$G$3)^12+คำนวณเกษียณ!$C$20*((1+$G$3)^12-1)/$G$3,D16+คำนวณเกษียณ!$C$20*12))</f>
        <v>0</v>
      </c>
    </row>
    <row r="18" spans="1:4" x14ac:dyDescent="0.25">
      <c r="A18" s="15">
        <f t="shared" si="0"/>
        <v>56</v>
      </c>
      <c r="B18" s="16">
        <f>IF(A17&gt;=คำนวณเกษียณ!$C$8,B17,B17*(1+คำนวณเกษียณ!$C$11))</f>
        <v>89037.258656732767</v>
      </c>
      <c r="C18" s="16">
        <f>IF(A17&gt;=คำนวณเกษียณ!$C$8,C17,IFERROR(C17*(1+$G$2)^12+B17*$G$4*((1+$G$2)^12-1)/$G$2,C17+B17*$G$4*12))</f>
        <v>3001256.7630479974</v>
      </c>
      <c r="D18" s="16">
        <f>IF(A17&gt;=คำนวณเกษียณ!$C$8,D17,IFERROR(D17*(1+$G$3)^12+คำนวณเกษียณ!$C$20*((1+$G$3)^12-1)/$G$3,D17+คำนวณเกษียณ!$C$20*12))</f>
        <v>0</v>
      </c>
    </row>
    <row r="19" spans="1:4" x14ac:dyDescent="0.25">
      <c r="A19" s="15">
        <f t="shared" si="0"/>
        <v>57</v>
      </c>
      <c r="B19" s="16">
        <f>IF(A18&gt;=คำนวณเกษียณ!$C$8,B18,B18*(1+คำนวณเกษียณ!$C$11))</f>
        <v>95269.86676270407</v>
      </c>
      <c r="C19" s="16">
        <f>IF(A18&gt;=คำนวณเกษียณ!$C$8,C18,IFERROR(C18*(1+$G$2)^12+B18*$G$4*((1+$G$2)^12-1)/$G$2,C18+B18*$G$4*12))</f>
        <v>3398737.0487240162</v>
      </c>
      <c r="D19" s="16">
        <f>IF(A18&gt;=คำนวณเกษียณ!$C$8,D18,IFERROR(D18*(1+$G$3)^12+คำนวณเกษียณ!$C$20*((1+$G$3)^12-1)/$G$3,D18+คำนวณเกษียณ!$C$20*12))</f>
        <v>0</v>
      </c>
    </row>
    <row r="20" spans="1:4" x14ac:dyDescent="0.25">
      <c r="A20" s="15">
        <f t="shared" si="0"/>
        <v>58</v>
      </c>
      <c r="B20" s="16">
        <f>IF(A19&gt;=คำนวณเกษียณ!$C$8,B19,B19*(1+คำนวณเกษียณ!$C$11))</f>
        <v>101938.75743609336</v>
      </c>
      <c r="C20" s="16">
        <f>IF(A19&gt;=คำนวณเกษียณ!$C$8,C19,IFERROR(C19*(1+$G$2)^12+B19*$G$4*((1+$G$2)^12-1)/$G$2,C19+B19*$G$4*12))</f>
        <v>3837158.4162557428</v>
      </c>
      <c r="D20" s="16">
        <f>IF(A19&gt;=คำนวณเกษียณ!$C$8,D19,IFERROR(D19*(1+$G$3)^12+คำนวณเกษียณ!$C$20*((1+$G$3)^12-1)/$G$3,D19+คำนวณเกษียณ!$C$20*12))</f>
        <v>0</v>
      </c>
    </row>
    <row r="21" spans="1:4" x14ac:dyDescent="0.25">
      <c r="A21" s="15">
        <f t="shared" si="0"/>
        <v>59</v>
      </c>
      <c r="B21" s="16">
        <f>IF(A20&gt;=คำนวณเกษียณ!$C$8,B20,B20*(1+คำนวณเกษียณ!$C$11))</f>
        <v>109074.47045661991</v>
      </c>
      <c r="C21" s="16">
        <f>IF(A20&gt;=คำนวณเกษียณ!$C$8,C20,IFERROR(C20*(1+$G$2)^12+B20*$G$4*((1+$G$2)^12-1)/$G$2,C20+B20*$G$4*12))</f>
        <v>4320304.963703163</v>
      </c>
      <c r="D21" s="16">
        <f>IF(A20&gt;=คำนวณเกษียณ!$C$8,D20,IFERROR(D20*(1+$G$3)^12+คำนวณเกษียณ!$C$20*((1+$G$3)^12-1)/$G$3,D20+คำนวณเกษียณ!$C$20*12))</f>
        <v>0</v>
      </c>
    </row>
    <row r="22" spans="1:4" x14ac:dyDescent="0.25">
      <c r="A22" s="15">
        <f t="shared" si="0"/>
        <v>60</v>
      </c>
      <c r="B22" s="16">
        <f>IF(A21&gt;=คำนวณเกษียณ!$C$8,B21,B21*(1+คำนวณเกษียณ!$C$11))</f>
        <v>116709.6833885833</v>
      </c>
      <c r="C22" s="16">
        <f>IF(A21&gt;=คำนวณเกษียณ!$C$8,C21,IFERROR(C21*(1+$G$2)^12+B21*$G$4*((1+$G$2)^12-1)/$G$2,C21+B21*$G$4*12))</f>
        <v>4852289.9515535682</v>
      </c>
      <c r="D22" s="16">
        <f>IF(A21&gt;=คำนวณเกษียณ!$C$8,D21,IFERROR(D21*(1+$G$3)^12+คำนวณเกษียณ!$C$20*((1+$G$3)^12-1)/$G$3,D21+คำนวณเกษียณ!$C$20*12))</f>
        <v>0</v>
      </c>
    </row>
    <row r="23" spans="1:4" x14ac:dyDescent="0.25">
      <c r="A23" s="15">
        <f t="shared" si="0"/>
        <v>61</v>
      </c>
      <c r="B23" s="16">
        <f>IF(A22&gt;=คำนวณเกษียณ!$C$8,B22,B22*(1+คำนวณเกษียณ!$C$11))</f>
        <v>116709.6833885833</v>
      </c>
      <c r="C23" s="16">
        <f>IF(A22&gt;=คำนวณเกษียณ!$C$8,C22,IFERROR(C22*(1+$G$2)^12+B22*$G$4*((1+$G$2)^12-1)/$G$2,C22+B22*$G$4*12))</f>
        <v>4852289.9515535682</v>
      </c>
      <c r="D23" s="16">
        <f>IF(A22&gt;=คำนวณเกษียณ!$C$8,D22,IFERROR(D22*(1+$G$3)^12+คำนวณเกษียณ!$C$20*((1+$G$3)^12-1)/$G$3,D22+คำนวณเกษียณ!$C$20*12))</f>
        <v>0</v>
      </c>
    </row>
    <row r="24" spans="1:4" x14ac:dyDescent="0.25">
      <c r="A24" s="15">
        <f t="shared" si="0"/>
        <v>62</v>
      </c>
      <c r="B24" s="16">
        <f>IF(A23&gt;=คำนวณเกษียณ!$C$8,B23,B23*(1+คำนวณเกษียณ!$C$11))</f>
        <v>116709.6833885833</v>
      </c>
      <c r="C24" s="16">
        <f>IF(A23&gt;=คำนวณเกษียณ!$C$8,C23,IFERROR(C23*(1+$G$2)^12+B23*$G$4*((1+$G$2)^12-1)/$G$2,C23+B23*$G$4*12))</f>
        <v>4852289.9515535682</v>
      </c>
      <c r="D24" s="16">
        <f>IF(A23&gt;=คำนวณเกษียณ!$C$8,D23,IFERROR(D23*(1+$G$3)^12+คำนวณเกษียณ!$C$20*((1+$G$3)^12-1)/$G$3,D23+คำนวณเกษียณ!$C$20*12))</f>
        <v>0</v>
      </c>
    </row>
    <row r="25" spans="1:4" x14ac:dyDescent="0.25">
      <c r="A25" s="15">
        <f t="shared" si="0"/>
        <v>63</v>
      </c>
      <c r="B25" s="16">
        <f>IF(A24&gt;=คำนวณเกษียณ!$C$8,B24,B24*(1+คำนวณเกษียณ!$C$11))</f>
        <v>116709.6833885833</v>
      </c>
      <c r="C25" s="16">
        <f>IF(A24&gt;=คำนวณเกษียณ!$C$8,C24,IFERROR(C24*(1+$G$2)^12+B24*$G$4*((1+$G$2)^12-1)/$G$2,C24+B24*$G$4*12))</f>
        <v>4852289.9515535682</v>
      </c>
      <c r="D25" s="16">
        <f>IF(A24&gt;=คำนวณเกษียณ!$C$8,D24,IFERROR(D24*(1+$G$3)^12+คำนวณเกษียณ!$C$20*((1+$G$3)^12-1)/$G$3,D24+คำนวณเกษียณ!$C$20*12))</f>
        <v>0</v>
      </c>
    </row>
    <row r="26" spans="1:4" x14ac:dyDescent="0.25">
      <c r="A26" s="15">
        <f t="shared" si="0"/>
        <v>64</v>
      </c>
      <c r="B26" s="16">
        <f>IF(A25&gt;=คำนวณเกษียณ!$C$8,B25,B25*(1+คำนวณเกษียณ!$C$11))</f>
        <v>116709.6833885833</v>
      </c>
      <c r="C26" s="16">
        <f>IF(A25&gt;=คำนวณเกษียณ!$C$8,C25,IFERROR(C25*(1+$G$2)^12+B25*$G$4*((1+$G$2)^12-1)/$G$2,C25+B25*$G$4*12))</f>
        <v>4852289.9515535682</v>
      </c>
      <c r="D26" s="16">
        <f>IF(A25&gt;=คำนวณเกษียณ!$C$8,D25,IFERROR(D25*(1+$G$3)^12+คำนวณเกษียณ!$C$20*((1+$G$3)^12-1)/$G$3,D25+คำนวณเกษียณ!$C$20*12))</f>
        <v>0</v>
      </c>
    </row>
    <row r="27" spans="1:4" x14ac:dyDescent="0.25">
      <c r="A27" s="15">
        <f t="shared" si="0"/>
        <v>65</v>
      </c>
      <c r="B27" s="16">
        <f>IF(A26&gt;=คำนวณเกษียณ!$C$8,B26,B26*(1+คำนวณเกษียณ!$C$11))</f>
        <v>116709.6833885833</v>
      </c>
      <c r="C27" s="16">
        <f>IF(A26&gt;=คำนวณเกษียณ!$C$8,C26,IFERROR(C26*(1+$G$2)^12+B26*$G$4*((1+$G$2)^12-1)/$G$2,C26+B26*$G$4*12))</f>
        <v>4852289.9515535682</v>
      </c>
      <c r="D27" s="16">
        <f>IF(A26&gt;=คำนวณเกษียณ!$C$8,D26,IFERROR(D26*(1+$G$3)^12+คำนวณเกษียณ!$C$20*((1+$G$3)^12-1)/$G$3,D26+คำนวณเกษียณ!$C$20*12))</f>
        <v>0</v>
      </c>
    </row>
    <row r="28" spans="1:4" x14ac:dyDescent="0.25">
      <c r="A28" s="15">
        <f t="shared" si="0"/>
        <v>66</v>
      </c>
      <c r="B28" s="16">
        <f>IF(A27&gt;=คำนวณเกษียณ!$C$8,B27,B27*(1+คำนวณเกษียณ!$C$11))</f>
        <v>116709.6833885833</v>
      </c>
      <c r="C28" s="16">
        <f>IF(A27&gt;=คำนวณเกษียณ!$C$8,C27,IFERROR(C27*(1+$G$2)^12+B27*$G$4*((1+$G$2)^12-1)/$G$2,C27+B27*$G$4*12))</f>
        <v>4852289.9515535682</v>
      </c>
      <c r="D28" s="16">
        <f>IF(A27&gt;=คำนวณเกษียณ!$C$8,D27,IFERROR(D27*(1+$G$3)^12+คำนวณเกษียณ!$C$20*((1+$G$3)^12-1)/$G$3,D27+คำนวณเกษียณ!$C$20*12))</f>
        <v>0</v>
      </c>
    </row>
    <row r="29" spans="1:4" x14ac:dyDescent="0.25">
      <c r="A29" s="15">
        <f t="shared" si="0"/>
        <v>67</v>
      </c>
      <c r="B29" s="16">
        <f>IF(A28&gt;=คำนวณเกษียณ!$C$8,B28,B28*(1+คำนวณเกษียณ!$C$11))</f>
        <v>116709.6833885833</v>
      </c>
      <c r="C29" s="16">
        <f>IF(A28&gt;=คำนวณเกษียณ!$C$8,C28,IFERROR(C28*(1+$G$2)^12+B28*$G$4*((1+$G$2)^12-1)/$G$2,C28+B28*$G$4*12))</f>
        <v>4852289.9515535682</v>
      </c>
      <c r="D29" s="16">
        <f>IF(A28&gt;=คำนวณเกษียณ!$C$8,D28,IFERROR(D28*(1+$G$3)^12+คำนวณเกษียณ!$C$20*((1+$G$3)^12-1)/$G$3,D28+คำนวณเกษียณ!$C$20*12))</f>
        <v>0</v>
      </c>
    </row>
    <row r="30" spans="1:4" x14ac:dyDescent="0.25">
      <c r="A30" s="15">
        <f t="shared" si="0"/>
        <v>68</v>
      </c>
      <c r="B30" s="16">
        <f>IF(A29&gt;=คำนวณเกษียณ!$C$8,B29,B29*(1+คำนวณเกษียณ!$C$11))</f>
        <v>116709.6833885833</v>
      </c>
      <c r="C30" s="16">
        <f>IF(A29&gt;=คำนวณเกษียณ!$C$8,C29,IFERROR(C29*(1+$G$2)^12+B29*$G$4*((1+$G$2)^12-1)/$G$2,C29+B29*$G$4*12))</f>
        <v>4852289.9515535682</v>
      </c>
      <c r="D30" s="16">
        <f>IF(A29&gt;=คำนวณเกษียณ!$C$8,D29,IFERROR(D29*(1+$G$3)^12+คำนวณเกษียณ!$C$20*((1+$G$3)^12-1)/$G$3,D29+คำนวณเกษียณ!$C$20*12))</f>
        <v>0</v>
      </c>
    </row>
    <row r="31" spans="1:4" x14ac:dyDescent="0.25">
      <c r="A31" s="15">
        <f t="shared" si="0"/>
        <v>69</v>
      </c>
      <c r="B31" s="16">
        <f>IF(A30&gt;=คำนวณเกษียณ!$C$8,B30,B30*(1+คำนวณเกษียณ!$C$11))</f>
        <v>116709.6833885833</v>
      </c>
      <c r="C31" s="16">
        <f>IF(A30&gt;=คำนวณเกษียณ!$C$8,C30,IFERROR(C30*(1+$G$2)^12+B30*$G$4*((1+$G$2)^12-1)/$G$2,C30+B30*$G$4*12))</f>
        <v>4852289.9515535682</v>
      </c>
      <c r="D31" s="16">
        <f>IF(A30&gt;=คำนวณเกษียณ!$C$8,D30,IFERROR(D30*(1+$G$3)^12+คำนวณเกษียณ!$C$20*((1+$G$3)^12-1)/$G$3,D30+คำนวณเกษียณ!$C$20*12))</f>
        <v>0</v>
      </c>
    </row>
    <row r="32" spans="1:4" x14ac:dyDescent="0.25">
      <c r="A32" s="15">
        <f t="shared" si="0"/>
        <v>70</v>
      </c>
      <c r="B32" s="16">
        <f>IF(A31&gt;=คำนวณเกษียณ!$C$8,B31,B31*(1+คำนวณเกษียณ!$C$11))</f>
        <v>116709.6833885833</v>
      </c>
      <c r="C32" s="16">
        <f>IF(A31&gt;=คำนวณเกษียณ!$C$8,C31,IFERROR(C31*(1+$G$2)^12+B31*$G$4*((1+$G$2)^12-1)/$G$2,C31+B31*$G$4*12))</f>
        <v>4852289.9515535682</v>
      </c>
      <c r="D32" s="16">
        <f>IF(A31&gt;=คำนวณเกษียณ!$C$8,D31,IFERROR(D31*(1+$G$3)^12+คำนวณเกษียณ!$C$20*((1+$G$3)^12-1)/$G$3,D31+คำนวณเกษียณ!$C$20*12))</f>
        <v>0</v>
      </c>
    </row>
    <row r="33" spans="1:4" x14ac:dyDescent="0.25">
      <c r="A33" s="15">
        <f t="shared" si="0"/>
        <v>71</v>
      </c>
      <c r="B33" s="16">
        <f>IF(A32&gt;=คำนวณเกษียณ!$C$8,B32,B32*(1+คำนวณเกษียณ!$C$11))</f>
        <v>116709.6833885833</v>
      </c>
      <c r="C33" s="16">
        <f>IF(A32&gt;=คำนวณเกษียณ!$C$8,C32,IFERROR(C32*(1+$G$2)^12+B32*$G$4*((1+$G$2)^12-1)/$G$2,C32+B32*$G$4*12))</f>
        <v>4852289.9515535682</v>
      </c>
      <c r="D33" s="16">
        <f>IF(A32&gt;=คำนวณเกษียณ!$C$8,D32,IFERROR(D32*(1+$G$3)^12+คำนวณเกษียณ!$C$20*((1+$G$3)^12-1)/$G$3,D32+คำนวณเกษียณ!$C$20*12))</f>
        <v>0</v>
      </c>
    </row>
    <row r="34" spans="1:4" x14ac:dyDescent="0.25">
      <c r="A34" s="15">
        <f t="shared" si="0"/>
        <v>72</v>
      </c>
      <c r="B34" s="16">
        <f>IF(A33&gt;=คำนวณเกษียณ!$C$8,B33,B33*(1+คำนวณเกษียณ!$C$11))</f>
        <v>116709.6833885833</v>
      </c>
      <c r="C34" s="16">
        <f>IF(A33&gt;=คำนวณเกษียณ!$C$8,C33,IFERROR(C33*(1+$G$2)^12+B33*$G$4*((1+$G$2)^12-1)/$G$2,C33+B33*$G$4*12))</f>
        <v>4852289.9515535682</v>
      </c>
      <c r="D34" s="16">
        <f>IF(A33&gt;=คำนวณเกษียณ!$C$8,D33,IFERROR(D33*(1+$G$3)^12+คำนวณเกษียณ!$C$20*((1+$G$3)^12-1)/$G$3,D33+คำนวณเกษียณ!$C$20*12))</f>
        <v>0</v>
      </c>
    </row>
    <row r="35" spans="1:4" x14ac:dyDescent="0.25">
      <c r="A35" s="15">
        <f t="shared" ref="A35:A67" si="1">A34+1</f>
        <v>73</v>
      </c>
      <c r="B35" s="16">
        <f>IF(A34&gt;=คำนวณเกษียณ!$C$8,B34,B34*(1+คำนวณเกษียณ!$C$11))</f>
        <v>116709.6833885833</v>
      </c>
      <c r="C35" s="16">
        <f>IF(A34&gt;=คำนวณเกษียณ!$C$8,C34,IFERROR(C34*(1+$G$2)^12+B34*$G$4*((1+$G$2)^12-1)/$G$2,C34+B34*$G$4*12))</f>
        <v>4852289.9515535682</v>
      </c>
      <c r="D35" s="16">
        <f>IF(A34&gt;=คำนวณเกษียณ!$C$8,D34,IFERROR(D34*(1+$G$3)^12+คำนวณเกษียณ!$C$20*((1+$G$3)^12-1)/$G$3,D34+คำนวณเกษียณ!$C$20*12))</f>
        <v>0</v>
      </c>
    </row>
    <row r="36" spans="1:4" x14ac:dyDescent="0.25">
      <c r="A36" s="15">
        <f t="shared" si="1"/>
        <v>74</v>
      </c>
      <c r="B36" s="16">
        <f>IF(A35&gt;=คำนวณเกษียณ!$C$8,B35,B35*(1+คำนวณเกษียณ!$C$11))</f>
        <v>116709.6833885833</v>
      </c>
      <c r="C36" s="16">
        <f>IF(A35&gt;=คำนวณเกษียณ!$C$8,C35,IFERROR(C35*(1+$G$2)^12+B35*$G$4*((1+$G$2)^12-1)/$G$2,C35+B35*$G$4*12))</f>
        <v>4852289.9515535682</v>
      </c>
      <c r="D36" s="16">
        <f>IF(A35&gt;=คำนวณเกษียณ!$C$8,D35,IFERROR(D35*(1+$G$3)^12+คำนวณเกษียณ!$C$20*((1+$G$3)^12-1)/$G$3,D35+คำนวณเกษียณ!$C$20*12))</f>
        <v>0</v>
      </c>
    </row>
    <row r="37" spans="1:4" x14ac:dyDescent="0.25">
      <c r="A37" s="15">
        <f t="shared" si="1"/>
        <v>75</v>
      </c>
      <c r="B37" s="16">
        <f>IF(A36&gt;=คำนวณเกษียณ!$C$8,B36,B36*(1+คำนวณเกษียณ!$C$11))</f>
        <v>116709.6833885833</v>
      </c>
      <c r="C37" s="16">
        <f>IF(A36&gt;=คำนวณเกษียณ!$C$8,C36,IFERROR(C36*(1+$G$2)^12+B36*$G$4*((1+$G$2)^12-1)/$G$2,C36+B36*$G$4*12))</f>
        <v>4852289.9515535682</v>
      </c>
      <c r="D37" s="16">
        <f>IF(A36&gt;=คำนวณเกษียณ!$C$8,D36,IFERROR(D36*(1+$G$3)^12+คำนวณเกษียณ!$C$20*((1+$G$3)^12-1)/$G$3,D36+คำนวณเกษียณ!$C$20*12))</f>
        <v>0</v>
      </c>
    </row>
    <row r="38" spans="1:4" x14ac:dyDescent="0.25">
      <c r="A38" s="15">
        <f t="shared" si="1"/>
        <v>76</v>
      </c>
      <c r="B38" s="16">
        <f>IF(A37&gt;=คำนวณเกษียณ!$C$8,B37,B37*(1+คำนวณเกษียณ!$C$11))</f>
        <v>116709.6833885833</v>
      </c>
      <c r="C38" s="16">
        <f>IF(A37&gt;=คำนวณเกษียณ!$C$8,C37,IFERROR(C37*(1+$G$2)^12+B37*$G$4*((1+$G$2)^12-1)/$G$2,C37+B37*$G$4*12))</f>
        <v>4852289.9515535682</v>
      </c>
      <c r="D38" s="16">
        <f>IF(A37&gt;=คำนวณเกษียณ!$C$8,D37,IFERROR(D37*(1+$G$3)^12+คำนวณเกษียณ!$C$20*((1+$G$3)^12-1)/$G$3,D37+คำนวณเกษียณ!$C$20*12))</f>
        <v>0</v>
      </c>
    </row>
    <row r="39" spans="1:4" x14ac:dyDescent="0.25">
      <c r="A39" s="15">
        <f t="shared" si="1"/>
        <v>77</v>
      </c>
      <c r="B39" s="16">
        <f>IF(A38&gt;=คำนวณเกษียณ!$C$8,B38,B38*(1+คำนวณเกษียณ!$C$11))</f>
        <v>116709.6833885833</v>
      </c>
      <c r="C39" s="16">
        <f>IF(A38&gt;=คำนวณเกษียณ!$C$8,C38,IFERROR(C38*(1+$G$2)^12+B38*$G$4*((1+$G$2)^12-1)/$G$2,C38+B38*$G$4*12))</f>
        <v>4852289.9515535682</v>
      </c>
      <c r="D39" s="16">
        <f>IF(A38&gt;=คำนวณเกษียณ!$C$8,D38,IFERROR(D38*(1+$G$3)^12+คำนวณเกษียณ!$C$20*((1+$G$3)^12-1)/$G$3,D38+คำนวณเกษียณ!$C$20*12))</f>
        <v>0</v>
      </c>
    </row>
    <row r="40" spans="1:4" x14ac:dyDescent="0.25">
      <c r="A40" s="15">
        <f t="shared" si="1"/>
        <v>78</v>
      </c>
      <c r="B40" s="16">
        <f>IF(A39&gt;=คำนวณเกษียณ!$C$8,B39,B39*(1+คำนวณเกษียณ!$C$11))</f>
        <v>116709.6833885833</v>
      </c>
      <c r="C40" s="16">
        <f>IF(A39&gt;=คำนวณเกษียณ!$C$8,C39,IFERROR(C39*(1+$G$2)^12+B39*$G$4*((1+$G$2)^12-1)/$G$2,C39+B39*$G$4*12))</f>
        <v>4852289.9515535682</v>
      </c>
      <c r="D40" s="16">
        <f>IF(A39&gt;=คำนวณเกษียณ!$C$8,D39,IFERROR(D39*(1+$G$3)^12+คำนวณเกษียณ!$C$20*((1+$G$3)^12-1)/$G$3,D39+คำนวณเกษียณ!$C$20*12))</f>
        <v>0</v>
      </c>
    </row>
    <row r="41" spans="1:4" x14ac:dyDescent="0.25">
      <c r="A41" s="15">
        <f t="shared" si="1"/>
        <v>79</v>
      </c>
      <c r="B41" s="16">
        <f>IF(A40&gt;=คำนวณเกษียณ!$C$8,B40,B40*(1+คำนวณเกษียณ!$C$11))</f>
        <v>116709.6833885833</v>
      </c>
      <c r="C41" s="16">
        <f>IF(A40&gt;=คำนวณเกษียณ!$C$8,C40,IFERROR(C40*(1+$G$2)^12+B40*$G$4*((1+$G$2)^12-1)/$G$2,C40+B40*$G$4*12))</f>
        <v>4852289.9515535682</v>
      </c>
      <c r="D41" s="16">
        <f>IF(A40&gt;=คำนวณเกษียณ!$C$8,D40,IFERROR(D40*(1+$G$3)^12+คำนวณเกษียณ!$C$20*((1+$G$3)^12-1)/$G$3,D40+คำนวณเกษียณ!$C$20*12))</f>
        <v>0</v>
      </c>
    </row>
    <row r="42" spans="1:4" x14ac:dyDescent="0.25">
      <c r="A42" s="15">
        <f t="shared" si="1"/>
        <v>80</v>
      </c>
      <c r="B42" s="16">
        <f>IF(A41&gt;=คำนวณเกษียณ!$C$8,B41,B41*(1+คำนวณเกษียณ!$C$11))</f>
        <v>116709.6833885833</v>
      </c>
      <c r="C42" s="16">
        <f>IF(A41&gt;=คำนวณเกษียณ!$C$8,C41,IFERROR(C41*(1+$G$2)^12+B41*$G$4*((1+$G$2)^12-1)/$G$2,C41+B41*$G$4*12))</f>
        <v>4852289.9515535682</v>
      </c>
      <c r="D42" s="16">
        <f>IF(A41&gt;=คำนวณเกษียณ!$C$8,D41,IFERROR(D41*(1+$G$3)^12+คำนวณเกษียณ!$C$20*((1+$G$3)^12-1)/$G$3,D41+คำนวณเกษียณ!$C$20*12))</f>
        <v>0</v>
      </c>
    </row>
    <row r="43" spans="1:4" x14ac:dyDescent="0.25">
      <c r="A43" s="15">
        <f t="shared" si="1"/>
        <v>81</v>
      </c>
      <c r="B43" s="16">
        <f>IF(A42&gt;=คำนวณเกษียณ!$C$8,B42,B42*(1+คำนวณเกษียณ!$C$11))</f>
        <v>116709.6833885833</v>
      </c>
      <c r="C43" s="16">
        <f>IF(A42&gt;=คำนวณเกษียณ!$C$8,C42,IFERROR(C42*(1+$G$2)^12+B42*$G$4*((1+$G$2)^12-1)/$G$2,C42+B42*$G$4*12))</f>
        <v>4852289.9515535682</v>
      </c>
      <c r="D43" s="16">
        <f>IF(A42&gt;=คำนวณเกษียณ!$C$8,D42,IFERROR(D42*(1+$G$3)^12+คำนวณเกษียณ!$C$20*((1+$G$3)^12-1)/$G$3,D42+คำนวณเกษียณ!$C$20*12))</f>
        <v>0</v>
      </c>
    </row>
    <row r="44" spans="1:4" x14ac:dyDescent="0.25">
      <c r="A44" s="15">
        <f t="shared" si="1"/>
        <v>82</v>
      </c>
      <c r="B44" s="16">
        <f>IF(A43&gt;=คำนวณเกษียณ!$C$8,B43,B43*(1+คำนวณเกษียณ!$C$11))</f>
        <v>116709.6833885833</v>
      </c>
      <c r="C44" s="16">
        <f>IF(A43&gt;=คำนวณเกษียณ!$C$8,C43,IFERROR(C43*(1+$G$2)^12+B43*$G$4*((1+$G$2)^12-1)/$G$2,C43+B43*$G$4*12))</f>
        <v>4852289.9515535682</v>
      </c>
      <c r="D44" s="16">
        <f>IF(A43&gt;=คำนวณเกษียณ!$C$8,D43,IFERROR(D43*(1+$G$3)^12+คำนวณเกษียณ!$C$20*((1+$G$3)^12-1)/$G$3,D43+คำนวณเกษียณ!$C$20*12))</f>
        <v>0</v>
      </c>
    </row>
    <row r="45" spans="1:4" x14ac:dyDescent="0.25">
      <c r="A45" s="15">
        <f t="shared" si="1"/>
        <v>83</v>
      </c>
      <c r="B45" s="16">
        <f>IF(A44&gt;=คำนวณเกษียณ!$C$8,B44,B44*(1+คำนวณเกษียณ!$C$11))</f>
        <v>116709.6833885833</v>
      </c>
      <c r="C45" s="16">
        <f>IF(A44&gt;=คำนวณเกษียณ!$C$8,C44,IFERROR(C44*(1+$G$2)^12+B44*$G$4*((1+$G$2)^12-1)/$G$2,C44+B44*$G$4*12))</f>
        <v>4852289.9515535682</v>
      </c>
      <c r="D45" s="16">
        <f>IF(A44&gt;=คำนวณเกษียณ!$C$8,D44,IFERROR(D44*(1+$G$3)^12+คำนวณเกษียณ!$C$20*((1+$G$3)^12-1)/$G$3,D44+คำนวณเกษียณ!$C$20*12))</f>
        <v>0</v>
      </c>
    </row>
    <row r="46" spans="1:4" x14ac:dyDescent="0.25">
      <c r="A46" s="15">
        <f t="shared" si="1"/>
        <v>84</v>
      </c>
      <c r="B46" s="16">
        <f>IF(A45&gt;=คำนวณเกษียณ!$C$8,B45,B45*(1+คำนวณเกษียณ!$C$11))</f>
        <v>116709.6833885833</v>
      </c>
      <c r="C46" s="16">
        <f>IF(A45&gt;=คำนวณเกษียณ!$C$8,C45,IFERROR(C45*(1+$G$2)^12+B45*$G$4*((1+$G$2)^12-1)/$G$2,C45+B45*$G$4*12))</f>
        <v>4852289.9515535682</v>
      </c>
      <c r="D46" s="16">
        <f>IF(A45&gt;=คำนวณเกษียณ!$C$8,D45,IFERROR(D45*(1+$G$3)^12+คำนวณเกษียณ!$C$20*((1+$G$3)^12-1)/$G$3,D45+คำนวณเกษียณ!$C$20*12))</f>
        <v>0</v>
      </c>
    </row>
    <row r="47" spans="1:4" x14ac:dyDescent="0.25">
      <c r="A47" s="15">
        <f t="shared" si="1"/>
        <v>85</v>
      </c>
      <c r="B47" s="16">
        <f>IF(A46&gt;=คำนวณเกษียณ!$C$8,B46,B46*(1+คำนวณเกษียณ!$C$11))</f>
        <v>116709.6833885833</v>
      </c>
      <c r="C47" s="16">
        <f>IF(A46&gt;=คำนวณเกษียณ!$C$8,C46,IFERROR(C46*(1+$G$2)^12+B46*$G$4*((1+$G$2)^12-1)/$G$2,C46+B46*$G$4*12))</f>
        <v>4852289.9515535682</v>
      </c>
      <c r="D47" s="16">
        <f>IF(A46&gt;=คำนวณเกษียณ!$C$8,D46,IFERROR(D46*(1+$G$3)^12+คำนวณเกษียณ!$C$20*((1+$G$3)^12-1)/$G$3,D46+คำนวณเกษียณ!$C$20*12))</f>
        <v>0</v>
      </c>
    </row>
    <row r="48" spans="1:4" x14ac:dyDescent="0.25">
      <c r="A48" s="15">
        <f t="shared" si="1"/>
        <v>86</v>
      </c>
      <c r="B48" s="16">
        <f>IF(A47&gt;=คำนวณเกษียณ!$C$8,B47,B47*(1+คำนวณเกษียณ!$C$11))</f>
        <v>116709.6833885833</v>
      </c>
      <c r="C48" s="16">
        <f>IF(A47&gt;=คำนวณเกษียณ!$C$8,C47,IFERROR(C47*(1+$G$2)^12+B47*$G$4*((1+$G$2)^12-1)/$G$2,C47+B47*$G$4*12))</f>
        <v>4852289.9515535682</v>
      </c>
      <c r="D48" s="16">
        <f>IF(A47&gt;=คำนวณเกษียณ!$C$8,D47,IFERROR(D47*(1+$G$3)^12+คำนวณเกษียณ!$C$20*((1+$G$3)^12-1)/$G$3,D47+คำนวณเกษียณ!$C$20*12))</f>
        <v>0</v>
      </c>
    </row>
    <row r="49" spans="1:4" x14ac:dyDescent="0.25">
      <c r="A49" s="15">
        <f t="shared" si="1"/>
        <v>87</v>
      </c>
      <c r="B49" s="16">
        <f>IF(A48&gt;=คำนวณเกษียณ!$C$8,B48,B48*(1+คำนวณเกษียณ!$C$11))</f>
        <v>116709.6833885833</v>
      </c>
      <c r="C49" s="16">
        <f>IF(A48&gt;=คำนวณเกษียณ!$C$8,C48,IFERROR(C48*(1+$G$2)^12+B48*$G$4*((1+$G$2)^12-1)/$G$2,C48+B48*$G$4*12))</f>
        <v>4852289.9515535682</v>
      </c>
      <c r="D49" s="16">
        <f>IF(A48&gt;=คำนวณเกษียณ!$C$8,D48,IFERROR(D48*(1+$G$3)^12+คำนวณเกษียณ!$C$20*((1+$G$3)^12-1)/$G$3,D48+คำนวณเกษียณ!$C$20*12))</f>
        <v>0</v>
      </c>
    </row>
    <row r="50" spans="1:4" x14ac:dyDescent="0.25">
      <c r="A50" s="15">
        <f t="shared" si="1"/>
        <v>88</v>
      </c>
      <c r="B50" s="16">
        <f>IF(A49&gt;=คำนวณเกษียณ!$C$8,B49,B49*(1+คำนวณเกษียณ!$C$11))</f>
        <v>116709.6833885833</v>
      </c>
      <c r="C50" s="16">
        <f>IF(A49&gt;=คำนวณเกษียณ!$C$8,C49,IFERROR(C49*(1+$G$2)^12+B49*$G$4*((1+$G$2)^12-1)/$G$2,C49+B49*$G$4*12))</f>
        <v>4852289.9515535682</v>
      </c>
      <c r="D50" s="16">
        <f>IF(A49&gt;=คำนวณเกษียณ!$C$8,D49,IFERROR(D49*(1+$G$3)^12+คำนวณเกษียณ!$C$20*((1+$G$3)^12-1)/$G$3,D49+คำนวณเกษียณ!$C$20*12))</f>
        <v>0</v>
      </c>
    </row>
    <row r="51" spans="1:4" x14ac:dyDescent="0.25">
      <c r="A51" s="15">
        <f t="shared" si="1"/>
        <v>89</v>
      </c>
      <c r="B51" s="16">
        <f>IF(A50&gt;=คำนวณเกษียณ!$C$8,B50,B50*(1+คำนวณเกษียณ!$C$11))</f>
        <v>116709.6833885833</v>
      </c>
      <c r="C51" s="16">
        <f>IF(A50&gt;=คำนวณเกษียณ!$C$8,C50,IFERROR(C50*(1+$G$2)^12+B50*$G$4*((1+$G$2)^12-1)/$G$2,C50+B50*$G$4*12))</f>
        <v>4852289.9515535682</v>
      </c>
      <c r="D51" s="16">
        <f>IF(A50&gt;=คำนวณเกษียณ!$C$8,D50,IFERROR(D50*(1+$G$3)^12+คำนวณเกษียณ!$C$20*((1+$G$3)^12-1)/$G$3,D50+คำนวณเกษียณ!$C$20*12))</f>
        <v>0</v>
      </c>
    </row>
    <row r="52" spans="1:4" x14ac:dyDescent="0.25">
      <c r="A52" s="15">
        <f t="shared" si="1"/>
        <v>90</v>
      </c>
      <c r="B52" s="16">
        <f>IF(A51&gt;=คำนวณเกษียณ!$C$8,B51,B51*(1+คำนวณเกษียณ!$C$11))</f>
        <v>116709.6833885833</v>
      </c>
      <c r="C52" s="16">
        <f>IF(A51&gt;=คำนวณเกษียณ!$C$8,C51,IFERROR(C51*(1+$G$2)^12+B51*$G$4*((1+$G$2)^12-1)/$G$2,C51+B51*$G$4*12))</f>
        <v>4852289.9515535682</v>
      </c>
      <c r="D52" s="16">
        <f>IF(A51&gt;=คำนวณเกษียณ!$C$8,D51,IFERROR(D51*(1+$G$3)^12+คำนวณเกษียณ!$C$20*((1+$G$3)^12-1)/$G$3,D51+คำนวณเกษียณ!$C$20*12))</f>
        <v>0</v>
      </c>
    </row>
    <row r="53" spans="1:4" x14ac:dyDescent="0.25">
      <c r="A53" s="15">
        <f t="shared" si="1"/>
        <v>91</v>
      </c>
      <c r="B53" s="16">
        <f>IF(A52&gt;=คำนวณเกษียณ!$C$8,B52,B52*(1+คำนวณเกษียณ!$C$11))</f>
        <v>116709.6833885833</v>
      </c>
      <c r="C53" s="16">
        <f>IF(A52&gt;=คำนวณเกษียณ!$C$8,C52,IFERROR(C52*(1+$G$2)^12+B52*$G$4*((1+$G$2)^12-1)/$G$2,C52+B52*$G$4*12))</f>
        <v>4852289.9515535682</v>
      </c>
      <c r="D53" s="16">
        <f>IF(A52&gt;=คำนวณเกษียณ!$C$8,D52,IFERROR(D52*(1+$G$3)^12+คำนวณเกษียณ!$C$20*((1+$G$3)^12-1)/$G$3,D52+คำนวณเกษียณ!$C$20*12))</f>
        <v>0</v>
      </c>
    </row>
    <row r="54" spans="1:4" x14ac:dyDescent="0.25">
      <c r="A54" s="15">
        <f t="shared" si="1"/>
        <v>92</v>
      </c>
      <c r="B54" s="16">
        <f>IF(A53&gt;=คำนวณเกษียณ!$C$8,B53,B53*(1+คำนวณเกษียณ!$C$11))</f>
        <v>116709.6833885833</v>
      </c>
      <c r="C54" s="16">
        <f>IF(A53&gt;=คำนวณเกษียณ!$C$8,C53,IFERROR(C53*(1+$G$2)^12+B53*$G$4*((1+$G$2)^12-1)/$G$2,C53+B53*$G$4*12))</f>
        <v>4852289.9515535682</v>
      </c>
      <c r="D54" s="16">
        <f>IF(A53&gt;=คำนวณเกษียณ!$C$8,D53,IFERROR(D53*(1+$G$3)^12+คำนวณเกษียณ!$C$20*((1+$G$3)^12-1)/$G$3,D53+คำนวณเกษียณ!$C$20*12))</f>
        <v>0</v>
      </c>
    </row>
    <row r="55" spans="1:4" x14ac:dyDescent="0.25">
      <c r="A55" s="15">
        <f t="shared" si="1"/>
        <v>93</v>
      </c>
      <c r="B55" s="16">
        <f>IF(A54&gt;=คำนวณเกษียณ!$C$8,B54,B54*(1+คำนวณเกษียณ!$C$11))</f>
        <v>116709.6833885833</v>
      </c>
      <c r="C55" s="16">
        <f>IF(A54&gt;=คำนวณเกษียณ!$C$8,C54,IFERROR(C54*(1+$G$2)^12+B54*$G$4*((1+$G$2)^12-1)/$G$2,C54+B54*$G$4*12))</f>
        <v>4852289.9515535682</v>
      </c>
      <c r="D55" s="16">
        <f>IF(A54&gt;=คำนวณเกษียณ!$C$8,D54,IFERROR(D54*(1+$G$3)^12+คำนวณเกษียณ!$C$20*((1+$G$3)^12-1)/$G$3,D54+คำนวณเกษียณ!$C$20*12))</f>
        <v>0</v>
      </c>
    </row>
    <row r="56" spans="1:4" x14ac:dyDescent="0.25">
      <c r="A56" s="15">
        <f t="shared" si="1"/>
        <v>94</v>
      </c>
      <c r="B56" s="16">
        <f>IF(A55&gt;=คำนวณเกษียณ!$C$8,B55,B55*(1+คำนวณเกษียณ!$C$11))</f>
        <v>116709.6833885833</v>
      </c>
      <c r="C56" s="16">
        <f>IF(A55&gt;=คำนวณเกษียณ!$C$8,C55,IFERROR(C55*(1+$G$2)^12+B55*$G$4*((1+$G$2)^12-1)/$G$2,C55+B55*$G$4*12))</f>
        <v>4852289.9515535682</v>
      </c>
      <c r="D56" s="16">
        <f>IF(A55&gt;=คำนวณเกษียณ!$C$8,D55,IFERROR(D55*(1+$G$3)^12+คำนวณเกษียณ!$C$20*((1+$G$3)^12-1)/$G$3,D55+คำนวณเกษียณ!$C$20*12))</f>
        <v>0</v>
      </c>
    </row>
    <row r="57" spans="1:4" x14ac:dyDescent="0.25">
      <c r="A57" s="15">
        <f t="shared" si="1"/>
        <v>95</v>
      </c>
      <c r="B57" s="16">
        <f>IF(A56&gt;=คำนวณเกษียณ!$C$8,B56,B56*(1+คำนวณเกษียณ!$C$11))</f>
        <v>116709.6833885833</v>
      </c>
      <c r="C57" s="16">
        <f>IF(A56&gt;=คำนวณเกษียณ!$C$8,C56,IFERROR(C56*(1+$G$2)^12+B56*$G$4*((1+$G$2)^12-1)/$G$2,C56+B56*$G$4*12))</f>
        <v>4852289.9515535682</v>
      </c>
      <c r="D57" s="16">
        <f>IF(A56&gt;=คำนวณเกษียณ!$C$8,D56,IFERROR(D56*(1+$G$3)^12+คำนวณเกษียณ!$C$20*((1+$G$3)^12-1)/$G$3,D56+คำนวณเกษียณ!$C$20*12))</f>
        <v>0</v>
      </c>
    </row>
    <row r="58" spans="1:4" x14ac:dyDescent="0.25">
      <c r="A58" s="15">
        <f t="shared" si="1"/>
        <v>96</v>
      </c>
      <c r="B58" s="16">
        <f>IF(A57&gt;=คำนวณเกษียณ!$C$8,B57,B57*(1+คำนวณเกษียณ!$C$11))</f>
        <v>116709.6833885833</v>
      </c>
      <c r="C58" s="16">
        <f>IF(A57&gt;=คำนวณเกษียณ!$C$8,C57,IFERROR(C57*(1+$G$2)^12+B57*$G$4*((1+$G$2)^12-1)/$G$2,C57+B57*$G$4*12))</f>
        <v>4852289.9515535682</v>
      </c>
      <c r="D58" s="16">
        <f>IF(A57&gt;=คำนวณเกษียณ!$C$8,D57,IFERROR(D57*(1+$G$3)^12+คำนวณเกษียณ!$C$20*((1+$G$3)^12-1)/$G$3,D57+คำนวณเกษียณ!$C$20*12))</f>
        <v>0</v>
      </c>
    </row>
    <row r="59" spans="1:4" x14ac:dyDescent="0.25">
      <c r="A59" s="15">
        <f t="shared" si="1"/>
        <v>97</v>
      </c>
      <c r="B59" s="16">
        <f>IF(A58&gt;=คำนวณเกษียณ!$C$8,B58,B58*(1+คำนวณเกษียณ!$C$11))</f>
        <v>116709.6833885833</v>
      </c>
      <c r="C59" s="16">
        <f>IF(A58&gt;=คำนวณเกษียณ!$C$8,C58,IFERROR(C58*(1+$G$2)^12+B58*$G$4*((1+$G$2)^12-1)/$G$2,C58+B58*$G$4*12))</f>
        <v>4852289.9515535682</v>
      </c>
      <c r="D59" s="16">
        <f>IF(A58&gt;=คำนวณเกษียณ!$C$8,D58,IFERROR(D58*(1+$G$3)^12+คำนวณเกษียณ!$C$20*((1+$G$3)^12-1)/$G$3,D58+คำนวณเกษียณ!$C$20*12))</f>
        <v>0</v>
      </c>
    </row>
    <row r="60" spans="1:4" x14ac:dyDescent="0.25">
      <c r="A60" s="15">
        <f t="shared" si="1"/>
        <v>98</v>
      </c>
      <c r="B60" s="16">
        <f>IF(A59&gt;=คำนวณเกษียณ!$C$8,B59,B59*(1+คำนวณเกษียณ!$C$11))</f>
        <v>116709.6833885833</v>
      </c>
      <c r="C60" s="16">
        <f>IF(A59&gt;=คำนวณเกษียณ!$C$8,C59,IFERROR(C59*(1+$G$2)^12+B59*$G$4*((1+$G$2)^12-1)/$G$2,C59+B59*$G$4*12))</f>
        <v>4852289.9515535682</v>
      </c>
      <c r="D60" s="16">
        <f>IF(A59&gt;=คำนวณเกษียณ!$C$8,D59,IFERROR(D59*(1+$G$3)^12+คำนวณเกษียณ!$C$20*((1+$G$3)^12-1)/$G$3,D59+คำนวณเกษียณ!$C$20*12))</f>
        <v>0</v>
      </c>
    </row>
    <row r="61" spans="1:4" x14ac:dyDescent="0.25">
      <c r="A61" s="15">
        <f t="shared" si="1"/>
        <v>99</v>
      </c>
      <c r="B61" s="16">
        <f>IF(A60&gt;=คำนวณเกษียณ!$C$8,B60,B60*(1+คำนวณเกษียณ!$C$11))</f>
        <v>116709.6833885833</v>
      </c>
      <c r="C61" s="16">
        <f>IF(A60&gt;=คำนวณเกษียณ!$C$8,C60,IFERROR(C60*(1+$G$2)^12+B60*$G$4*((1+$G$2)^12-1)/$G$2,C60+B60*$G$4*12))</f>
        <v>4852289.9515535682</v>
      </c>
      <c r="D61" s="16">
        <f>IF(A60&gt;=คำนวณเกษียณ!$C$8,D60,IFERROR(D60*(1+$G$3)^12+คำนวณเกษียณ!$C$20*((1+$G$3)^12-1)/$G$3,D60+คำนวณเกษียณ!$C$20*12))</f>
        <v>0</v>
      </c>
    </row>
    <row r="62" spans="1:4" x14ac:dyDescent="0.25">
      <c r="A62" s="15">
        <f t="shared" si="1"/>
        <v>100</v>
      </c>
      <c r="B62" s="16">
        <f>IF(A61&gt;=คำนวณเกษียณ!$C$8,B61,B61*(1+คำนวณเกษียณ!$C$11))</f>
        <v>116709.6833885833</v>
      </c>
      <c r="C62" s="16">
        <f>IF(A61&gt;=คำนวณเกษียณ!$C$8,C61,IFERROR(C61*(1+$G$2)^12+B61*$G$4*((1+$G$2)^12-1)/$G$2,C61+B61*$G$4*12))</f>
        <v>4852289.9515535682</v>
      </c>
      <c r="D62" s="16">
        <f>IF(A61&gt;=คำนวณเกษียณ!$C$8,D61,IFERROR(D61*(1+$G$3)^12+คำนวณเกษียณ!$C$20*((1+$G$3)^12-1)/$G$3,D61+คำนวณเกษียณ!$C$20*12))</f>
        <v>0</v>
      </c>
    </row>
    <row r="63" spans="1:4" x14ac:dyDescent="0.25">
      <c r="A63" s="15">
        <f t="shared" si="1"/>
        <v>101</v>
      </c>
      <c r="B63" s="16">
        <f>IF(A62&gt;=คำนวณเกษียณ!$C$8,B62,B62*(1+คำนวณเกษียณ!$C$11))</f>
        <v>116709.6833885833</v>
      </c>
      <c r="C63" s="16">
        <f>IF(A62&gt;=คำนวณเกษียณ!$C$8,C62,IFERROR(C62*(1+$G$2)^12+B62*$G$4*((1+$G$2)^12-1)/$G$2,C62+B62*$G$4*12))</f>
        <v>4852289.9515535682</v>
      </c>
      <c r="D63" s="16">
        <f>IF(A62&gt;=คำนวณเกษียณ!$C$8,D62,IFERROR(D62*(1+$G$3)^12+คำนวณเกษียณ!$C$20*((1+$G$3)^12-1)/$G$3,D62+คำนวณเกษียณ!$C$20*12))</f>
        <v>0</v>
      </c>
    </row>
    <row r="64" spans="1:4" x14ac:dyDescent="0.25">
      <c r="A64" s="15">
        <f t="shared" si="1"/>
        <v>102</v>
      </c>
      <c r="B64" s="16">
        <f>IF(A63&gt;=คำนวณเกษียณ!$C$8,B63,B63*(1+คำนวณเกษียณ!$C$11))</f>
        <v>116709.6833885833</v>
      </c>
      <c r="C64" s="16">
        <f>IF(A63&gt;=คำนวณเกษียณ!$C$8,C63,IFERROR(C63*(1+$G$2)^12+B63*$G$4*((1+$G$2)^12-1)/$G$2,C63+B63*$G$4*12))</f>
        <v>4852289.9515535682</v>
      </c>
      <c r="D64" s="16">
        <f>IF(A63&gt;=คำนวณเกษียณ!$C$8,D63,IFERROR(D63*(1+$G$3)^12+คำนวณเกษียณ!$C$20*((1+$G$3)^12-1)/$G$3,D63+คำนวณเกษียณ!$C$20*12))</f>
        <v>0</v>
      </c>
    </row>
    <row r="65" spans="1:4" x14ac:dyDescent="0.25">
      <c r="A65" s="15">
        <f t="shared" si="1"/>
        <v>103</v>
      </c>
      <c r="B65" s="16">
        <f>IF(A64&gt;=คำนวณเกษียณ!$C$8,B64,B64*(1+คำนวณเกษียณ!$C$11))</f>
        <v>116709.6833885833</v>
      </c>
      <c r="C65" s="16">
        <f>IF(A64&gt;=คำนวณเกษียณ!$C$8,C64,IFERROR(C64*(1+$G$2)^12+B64*$G$4*((1+$G$2)^12-1)/$G$2,C64+B64*$G$4*12))</f>
        <v>4852289.9515535682</v>
      </c>
      <c r="D65" s="16">
        <f>IF(A64&gt;=คำนวณเกษียณ!$C$8,D64,IFERROR(D64*(1+$G$3)^12+คำนวณเกษียณ!$C$20*((1+$G$3)^12-1)/$G$3,D64+คำนวณเกษียณ!$C$20*12))</f>
        <v>0</v>
      </c>
    </row>
    <row r="66" spans="1:4" x14ac:dyDescent="0.25">
      <c r="A66" s="15">
        <f t="shared" si="1"/>
        <v>104</v>
      </c>
      <c r="B66" s="16">
        <f>IF(A65&gt;=คำนวณเกษียณ!$C$8,B65,B65*(1+คำนวณเกษียณ!$C$11))</f>
        <v>116709.6833885833</v>
      </c>
      <c r="C66" s="16">
        <f>IF(A65&gt;=คำนวณเกษียณ!$C$8,C65,IFERROR(C65*(1+$G$2)^12+B65*$G$4*((1+$G$2)^12-1)/$G$2,C65+B65*$G$4*12))</f>
        <v>4852289.9515535682</v>
      </c>
      <c r="D66" s="16">
        <f>IF(A65&gt;=คำนวณเกษียณ!$C$8,D65,IFERROR(D65*(1+$G$3)^12+คำนวณเกษียณ!$C$20*((1+$G$3)^12-1)/$G$3,D65+คำนวณเกษียณ!$C$20*12))</f>
        <v>0</v>
      </c>
    </row>
    <row r="67" spans="1:4" x14ac:dyDescent="0.25">
      <c r="A67" s="15">
        <f t="shared" si="1"/>
        <v>105</v>
      </c>
      <c r="B67" s="16">
        <f>IF(A66&gt;=คำนวณเกษียณ!$C$8,B66,B66*(1+คำนวณเกษียณ!$C$11))</f>
        <v>116709.6833885833</v>
      </c>
      <c r="C67" s="16">
        <f>IF(A66&gt;=คำนวณเกษียณ!$C$8,C66,IFERROR(C66*(1+$G$2)^12+B66*$G$4*((1+$G$2)^12-1)/$G$2,C66+B66*$G$4*12))</f>
        <v>4852289.9515535682</v>
      </c>
      <c r="D67" s="16">
        <f>IF(A66&gt;=คำนวณเกษียณ!$C$8,D66,IFERROR(D66*(1+$G$3)^12+คำนวณเกษียณ!$C$20*((1+$G$3)^12-1)/$G$3,D66+คำนวณเกษียณ!$C$20*12))</f>
        <v>0</v>
      </c>
    </row>
  </sheetData>
  <mergeCells count="1">
    <mergeCell ref="F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คำนวณเกษียณ</vt:lpstr>
      <vt:lpstr>ตารางจำลอง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Ritthikiad Takhulee</cp:lastModifiedBy>
  <cp:revision>0</cp:revision>
  <dcterms:created xsi:type="dcterms:W3CDTF">2026-07-29T23:35:43Z</dcterms:created>
  <dcterms:modified xsi:type="dcterms:W3CDTF">2026-08-20T10:18:13Z</dcterms:modified>
  <dc:language>en-US</dc:language>
</cp:coreProperties>
</file>